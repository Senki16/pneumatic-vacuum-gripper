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09c9a0438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c7570ff94294047"/>
    <x:sheet xmlns:r="http://schemas.openxmlformats.org/officeDocument/2006/relationships" name="Costos" sheetId="2" r:id="R3f70be0c595c4952"/>
    <x:sheet xmlns:r="http://schemas.openxmlformats.org/officeDocument/2006/relationships" name="Supuestos" sheetId="3" r:id="Rfabde1fc36ff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 #,##0"/>
    <x:numFmt numFmtId="201" formatCode="0.00"/>
  </x:numFmts>
  <x:fonts count="5">
    <x:font>
      <x:sz val="11"/>
      <x:name val="Carlito"/>
    </x:font>
    <x:font>
      <x:sz val="10"/>
      <x:name val="Calibri"/>
    </x:font>
    <x:font>
      <x:b/>
      <x:sz val="16"/>
      <x:color rgb="FFFFFF"/>
      <x:name val="Calibri"/>
    </x:font>
    <x:font>
      <x:b/>
      <x:sz val="10"/>
      <x:color rgb="FFFFFF"/>
      <x:name val="Calibri"/>
    </x:font>
    <x:font>
      <x:b/>
      <x:sz val="12"/>
      <x:color rgb="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0B2F6B"/>
      </x:patternFill>
    </x:fill>
    <x:fill>
      <x:patternFill patternType="solid">
        <x:fgColor rgb="F2C230"/>
      </x:patternFill>
    </x:fill>
    <x:fill>
      <x:patternFill patternType="solid">
        <x:fgColor rgb="FFF4C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72e1c3d634a02" /><Relationship Type="http://schemas.openxmlformats.org/officeDocument/2006/relationships/theme" Target="/xl/theme/theme1.xml" Id="R275eaac29955488f" /><Relationship Type="http://schemas.openxmlformats.org/officeDocument/2006/relationships/sharedStrings" Target="/xl/sharedStrings.xml" Id="R4cc7eca4b89b4840" /><Relationship Type="http://schemas.openxmlformats.org/officeDocument/2006/relationships/worksheet" Target="/xl/worksheets/sheet1.xml" Id="Rcc7570ff94294047" /><Relationship Type="http://schemas.openxmlformats.org/officeDocument/2006/relationships/worksheet" Target="/xl/worksheets/sheet2.xml" Id="R3f70be0c595c4952" /><Relationship Type="http://schemas.openxmlformats.org/officeDocument/2006/relationships/worksheet" Target="/xl/worksheets/sheet3.xml" Id="Rfabde1fc36ff40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074dfff5f048b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Subtotal COP</c:v>
          </c:tx>
          <c:cat>
            <c:strRef>
              <c:f>'Costos'!$B$2:$B$13</c:f>
              <c:strCache>
                <c:ptCount val="0"/>
              </c:strCache>
            </c:strRef>
          </c:cat>
          <c:val>
            <c:numRef>
              <c:f>'Costos'!$G$2:$G$13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10</xdr:row>
      <xdr:rowOff>0</xdr:rowOff>
    </xdr:from>
    <xdr:to>
      <xdr:col>19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074dfff5f048b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Costos" displayName="TablaCostos" ref="A1:I13" headerRowCount="1">
  <x:tableColumns count="9">
    <x:tableColumn id="1" name="Categoría"/>
    <x:tableColumn id="2" name="Componente"/>
    <x:tableColumn id="3" name="Proveedor / razón social"/>
    <x:tableColumn id="4" name="Cantidad"/>
    <x:tableColumn id="5" name="Unidad"/>
    <x:tableColumn id="6" name="Valor unitario COP"/>
    <x:tableColumn id="7" name="Subtotal COP"/>
    <x:tableColumn id="8" name="Observación"/>
    <x:tableColumn id="9" name="Fuente / referencia"/>
  </x:tableColumns>
  <x:tableStyleInfo name="TableStyleMedium2" showRowStripes="1"/>
</x:table>
</file>

<file path=xl/tables/table2.xml><?xml version="1.0" encoding="utf-8"?>
<x:table xmlns:x="http://schemas.openxmlformats.org/spreadsheetml/2006/main" id="2" name="TablaSupuestos" displayName="TablaSupuestos" ref="A1:E11" headerRowCount="1">
  <x:tableColumns count="5">
    <x:tableColumn id="1" name="Parámetro"/>
    <x:tableColumn id="2" name="Valor"/>
    <x:tableColumn id="3" name="Unidad"/>
    <x:tableColumn id="4" name="Uso en cálculo"/>
    <x:tableColumn id="5" name="Fuente / refere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13ef38f8ea24573" /><Relationship Type="http://schemas.openxmlformats.org/officeDocument/2006/relationships/table" Target="/xl/tables/table1.xml" Id="Rc6651a7c79b249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58ffba50f147fe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20" hidden="0" customWidth="1"/>
    <x:col min="4" max="4" width="20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9" t="str">
        <x:v>COSTEO Y VIABILIDAD – GRIPPER NEUMÁTICO POR VACÍO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15" t="str">
        <x:v>Escenario</x:v>
      </x:c>
      <x:c r="B3" s="15" t="str">
        <x:v>Costo total COP</x:v>
      </x:c>
      <x:c r="C3" s="4"/>
      <x:c r="D3" s="15" t="str">
        <x:v>Indicador</x:v>
      </x:c>
      <x:c r="E3" s="15" t="str">
        <x:v>Resultado</x:v>
      </x:c>
      <x:c r="F3" s="15" t="str">
        <x:v>Criterio</x:v>
      </x:c>
      <x:c r="G3" s="15" t="str">
        <x:v>Lectura</x:v>
      </x:c>
      <x:c r="H3" s="15" t="str">
        <x:v>Recomendación</x:v>
      </x:c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4" t="str">
        <x:v>Gripper + recubrimiento + ingeniería + fabricación + línea de aire</x:v>
      </x:c>
      <x:c r="B4" s="24" t="n">
        <x:f>Costos!L3</x:f>
        <x:v>1328940</x:v>
      </x:c>
      <x:c r="C4" s="4"/>
      <x:c r="D4" s="4" t="str">
        <x:v>Viabilidad técnica</x:v>
      </x:c>
      <x:c r="E4" s="4" t="str">
        <x:v>Alta</x:v>
      </x:c>
      <x:c r="F4" s="4" t="str">
        <x:v>Vacío 8 bar + 4 ventosas + eyector</x:v>
      </x:c>
      <x:c r="G4" s="4" t="str">
        <x:v>Adecuado para prototipo</x:v>
      </x:c>
      <x:c r="H4" s="4" t="str">
        <x:v>Validar fugas y fuerza real con carga</x:v>
      </x:c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4" t="str">
        <x:v>Gripper + recubrimiento + ingeniería + fabricación + compresor</x:v>
      </x:c>
      <x:c r="B5" s="24" t="n">
        <x:f>Costos!L4</x:f>
        <x:v>1828940</x:v>
      </x:c>
      <x:c r="C5" s="4"/>
      <x:c r="D5" s="4" t="str">
        <x:v>Viabilidad económica</x:v>
      </x:c>
      <x:c r="E5" s="4" t="str">
        <x:v>Alta</x:v>
      </x:c>
      <x:c r="F5" s="4" t="str">
        <x:v>Costo bajo frente a gripper comercial</x:v>
      </x:c>
      <x:c r="G5" s="4" t="str">
        <x:v>Muy viable</x:v>
      </x:c>
      <x:c r="H5" s="4" t="str">
        <x:v>Usar línea de aire existente si está disponible</x:v>
      </x:c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4" t="str">
        <x:v>Solo componentes directos del gripper con recubrimiento</x:v>
      </x:c>
      <x:c r="B6" s="24" t="n">
        <x:f>Costos!L6</x:f>
        <x:v>578940</x:v>
      </x:c>
      <x:c r="C6" s="4"/>
      <x:c r="D6" s="4" t="str">
        <x:v>Riesgo de costo</x:v>
      </x:c>
      <x:c r="E6" s="4" t="str">
        <x:v>Medio</x:v>
      </x:c>
      <x:c r="F6" s="4" t="str">
        <x:v>Compresor eleva el total</x:v>
      </x:c>
      <x:c r="G6" s="4" t="str">
        <x:v>Controlable</x:v>
      </x:c>
      <x:c r="H6" s="4" t="str">
        <x:v>Comprar compresor solo si no hay red neumática</x:v>
      </x:c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4" t="str">
        <x:v>Ingeniería + fabricación</x:v>
      </x:c>
      <x:c r="B7" s="24" t="n">
        <x:f>Costos!L7</x:f>
        <x:v>600000</x:v>
      </x:c>
      <x:c r="C7" s="4"/>
      <x:c r="D7" s="4" t="str">
        <x:v>Riesgo técnico</x:v>
      </x:c>
      <x:c r="E7" s="4" t="str">
        <x:v>Medio</x:v>
      </x:c>
      <x:c r="F7" s="4" t="str">
        <x:v>Impresión 3D puede presentar porosidad</x:v>
      </x:c>
      <x:c r="G7" s="4" t="str">
        <x:v>Requiere recubrimiento</x:v>
      </x:c>
      <x:c r="H7" s="4" t="str">
        <x:v>Aplicar epoxi/fibra y prueba de estanqueidad</x:v>
      </x:c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4" t="str">
        <x:v>Costo energético diario estimado</x:v>
      </x:c>
      <x:c r="B8" s="24" t="n">
        <x:f>Supuestos!B10</x:f>
        <x:v>1350</x:v>
      </x:c>
      <x:c r="C8" s="4"/>
      <x:c r="D8" s="4" t="str">
        <x:v>Proveedor crítico</x:v>
      </x:c>
      <x:c r="E8" s="4" t="str">
        <x:v>Suministros Neumáticos</x:v>
      </x:c>
      <x:c r="F8" s="4" t="str">
        <x:v>Eyector, ventosas y neumática</x:v>
      </x:c>
      <x:c r="G8" s="4" t="str">
        <x:v>Centralizado</x:v>
      </x:c>
      <x:c r="H8" s="4" t="str">
        <x:v>Confirmar roscas, diámetros y disponibilidad</x:v>
      </x:c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4" t="str">
        <x:v>Costo energético mensual estimado</x:v>
      </x:c>
      <x:c r="B9" s="24" t="n">
        <x:f>Supuestos!B11</x:f>
        <x:v>29700</x:v>
      </x:c>
      <x:c r="C9" s="4"/>
      <x:c r="D9" s="4" t="str">
        <x:v>Conclusión</x:v>
      </x:c>
      <x:c r="E9" s="4" t="str">
        <x:v>Viable</x:v>
      </x:c>
      <x:c r="F9" s="4" t="str">
        <x:v>Mejor escenario: línea existente</x:v>
      </x:c>
      <x:c r="G9" s="4" t="str">
        <x:v>Recomendado</x:v>
      </x:c>
      <x:c r="H9" s="4" t="str">
        <x:v>Prototipo justificable por costo y aprendizaje</x:v>
      </x:c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19" t="str">
        <x:v>Decisión recomendada</x:v>
      </x:c>
      <x:c r="B12" s="4" t="str"/>
      <x:c r="C12" s="4" t="str"/>
      <x:c r="D12" s="4" t="str"/>
      <x:c r="E12" s="4" t="str"/>
      <x:c r="F12" s="4" t="str"/>
      <x:c r="G12" s="4" t="str"/>
      <x:c r="H12" s="4" t="str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22" t="str">
        <x:v>Usar línea de aire existente si la planta ya cuenta con compresor central. Esto baja el CAPEX del prototipo y evita comprar un compresor dedicado.</x:v>
      </x:c>
      <x:c r="B13" s="22" t="str"/>
      <x:c r="C13" s="22" t="str"/>
      <x:c r="D13" s="22" t="str"/>
      <x:c r="E13" s="22" t="str"/>
      <x:c r="F13" s="22" t="str"/>
      <x:c r="G13" s="22" t="str"/>
      <x:c r="H13" s="22" t="str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22" t="str">
        <x:v>Comprar compresor independiente solo si el prototipo se probará fuera de planta o si no hay red neumática estable a 6–8 bar.</x:v>
      </x:c>
      <x:c r="B14" s="22" t="str"/>
      <x:c r="C14" s="22" t="str"/>
      <x:c r="D14" s="22" t="str"/>
      <x:c r="E14" s="22" t="str"/>
      <x:c r="F14" s="22" t="str"/>
      <x:c r="G14" s="22" t="str"/>
      <x:c r="H14" s="22" t="str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22" t="str">
        <x:v>El recubrimiento epoxi/fibra se justifica porque mejora sellado superficial, rigidez y resistencia de la pieza impresa, reduciendo fugas de vacío.</x:v>
      </x:c>
      <x:c r="B15" s="22" t="str"/>
      <x:c r="C15" s="22" t="str"/>
      <x:c r="D15" s="22" t="str"/>
      <x:c r="E15" s="22" t="str"/>
      <x:c r="F15" s="22" t="str"/>
      <x:c r="G15" s="22" t="str"/>
      <x:c r="H15" s="22" t="str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22" t="str">
        <x:v>El costo de planos e ingeniería se incluyó como servicio independiente para que el proyecto pueda defenderse como diseño formal y no solo como compra de piezas.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22" t="str">
        <x:v>La fabricación incluye ensamble, ajuste, sellado y prueba inicial; puede variar según complejidad geométrica y acabado requerido.</x:v>
      </x:c>
      <x:c r="B17" s="22" t="str"/>
      <x:c r="C17" s="22" t="str"/>
      <x:c r="D17" s="22" t="str"/>
      <x:c r="E17" s="22" t="str"/>
      <x:c r="F17" s="22" t="str"/>
      <x:c r="G17" s="22" t="str"/>
      <x:c r="H17" s="22" t="str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8" hidden="0" customWidth="1"/>
    <x:col min="4" max="4" width="10" hidden="0" customWidth="1"/>
    <x:col min="5" max="5" width="12" hidden="0" customWidth="1"/>
    <x:col min="6" max="6" width="16" hidden="0" customWidth="1"/>
    <x:col min="7" max="7" width="16" hidden="0" customWidth="1"/>
    <x:col min="8" max="8" width="36" hidden="0" customWidth="1"/>
    <x:col min="9" max="9" width="44" hidden="0" customWidth="1"/>
    <x:col min="11" max="11" width="30" hidden="0" customWidth="1"/>
    <x:col min="12" max="12" width="18" hidden="0" customWidth="1"/>
  </x:cols>
  <x:sheetData>
    <x:row r="1">
      <x:c r="A1" s="15" t="str">
        <x:v>Categoría</x:v>
      </x:c>
      <x:c r="B1" s="15" t="str">
        <x:v>Componente</x:v>
      </x:c>
      <x:c r="C1" s="15" t="str">
        <x:v>Proveedor / razón social</x:v>
      </x:c>
      <x:c r="D1" s="15" t="str">
        <x:v>Cantidad</x:v>
      </x:c>
      <x:c r="E1" s="15" t="str">
        <x:v>Unidad</x:v>
      </x:c>
      <x:c r="F1" s="15" t="str">
        <x:v>Valor unitario COP</x:v>
      </x:c>
      <x:c r="G1" s="15" t="str">
        <x:v>Subtotal COP</x:v>
      </x:c>
      <x:c r="H1" s="15" t="str">
        <x:v>Observación</x:v>
      </x:c>
      <x:c r="I1" s="15" t="str">
        <x:v>Fuente / referencia</x:v>
      </x:c>
      <x:c r="J1" s="4"/>
      <x:c r="K1" s="15" t="str">
        <x:v>Resumen</x:v>
      </x:c>
      <x:c r="L1" s="15" t="str">
        <x:v>COP</x:v>
      </x:c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4" t="str">
        <x:v>Material base</x:v>
      </x:c>
      <x:c r="B2" s="4" t="str">
        <x:v>Resina impresión 3D</x:v>
      </x:c>
      <x:c r="C2" s="4" t="str">
        <x:v>Proveedor impresión 3D / laboratorio</x:v>
      </x:c>
      <x:c r="D2" s="4" t="n">
        <x:v>1</x:v>
      </x:c>
      <x:c r="E2" s="4" t="str">
        <x:v>lote</x:v>
      </x:c>
      <x:c r="F2" s="24" t="n">
        <x:v>110000</x:v>
      </x:c>
      <x:c r="G2" s="24" t="n">
        <x:f>D2*F2</x:f>
        <x:v>110000</x:v>
      </x:c>
      <x:c r="H2" s="4" t="str">
        <x:v>Costo dado por usuario</x:v>
      </x:c>
      <x:c r="I2" s="4" t="str">
        <x:v>Usuario</x:v>
      </x:c>
      <x:c r="J2" s="4"/>
      <x:c r="K2" s="4" t="str">
        <x:v>Subtotal gripper sin aire, ingeniería ni fabricación</x:v>
      </x:c>
      <x:c r="L2" s="24" t="n">
        <x:f>SUM(G2:G9)</x:f>
        <x:v>578940</x:v>
      </x:c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4" t="str">
        <x:v>Agarre</x:v>
      </x:c>
      <x:c r="B3" s="4" t="str">
        <x:v>Ventosas fuelle</x:v>
      </x:c>
      <x:c r="C3" s="4" t="str">
        <x:v>Suministros Neumáticos</x:v>
      </x:c>
      <x:c r="D3" s="4" t="n">
        <x:v>4</x:v>
      </x:c>
      <x:c r="E3" s="4" t="str">
        <x:v>unidad</x:v>
      </x:c>
      <x:c r="F3" s="24" t="n">
        <x:v>40000</x:v>
      </x:c>
      <x:c r="G3" s="24" t="n">
        <x:f>D3*F3</x:f>
        <x:v>160000</x:v>
      </x:c>
      <x:c r="H3" s="4" t="str">
        <x:v>4 ventosas total $160.000</x:v>
      </x:c>
      <x:c r="I3" s="4" t="str">
        <x:v>Usuario</x:v>
      </x:c>
      <x:c r="J3" s="4"/>
      <x:c r="K3" s="4" t="str">
        <x:v>Total con línea de aire existente</x:v>
      </x:c>
      <x:c r="L3" s="24" t="n">
        <x:f>SUM(G2:G12)</x:f>
        <x:v>1328940</x:v>
      </x:c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4" t="str">
        <x:v>Fijación</x:v>
      </x:c>
      <x:c r="B4" s="4" t="str">
        <x:v>Tornillería</x:v>
      </x:c>
      <x:c r="C4" s="4" t="str">
        <x:v>Mundial de Tornillos</x:v>
      </x:c>
      <x:c r="D4" s="4" t="n">
        <x:v>1</x:v>
      </x:c>
      <x:c r="E4" s="4" t="str">
        <x:v>lote</x:v>
      </x:c>
      <x:c r="F4" s="24" t="n">
        <x:v>6940</x:v>
      </x:c>
      <x:c r="G4" s="24" t="n">
        <x:f>D4*F4</x:f>
        <x:v>6940</x:v>
      </x:c>
      <x:c r="H4" s="4" t="str">
        <x:v>Costo dado por usuario</x:v>
      </x:c>
      <x:c r="I4" s="4" t="str">
        <x:v>Usuario</x:v>
      </x:c>
      <x:c r="J4" s="4"/>
      <x:c r="K4" s="4" t="str">
        <x:v>Total con compresor independiente</x:v>
      </x:c>
      <x:c r="L4" s="24" t="n">
        <x:f>SUM(G2:G11)+G13</x:f>
        <x:v>1828940</x:v>
      </x:c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4" t="str">
        <x:v>Vacío</x:v>
      </x:c>
      <x:c r="B5" s="4" t="str">
        <x:v>Eyector Venturi</x:v>
      </x:c>
      <x:c r="C5" s="4" t="str">
        <x:v>Suministros Neumáticos</x:v>
      </x:c>
      <x:c r="D5" s="4" t="n">
        <x:v>1</x:v>
      </x:c>
      <x:c r="E5" s="4" t="str">
        <x:v>unidad</x:v>
      </x:c>
      <x:c r="F5" s="24" t="n">
        <x:v>145000</x:v>
      </x:c>
      <x:c r="G5" s="24" t="n">
        <x:f>D5*F5</x:f>
        <x:v>145000</x:v>
      </x:c>
      <x:c r="H5" s="4" t="str">
        <x:v>Costo dado por usuario</x:v>
      </x:c>
      <x:c r="I5" s="4" t="str">
        <x:v>Usuario</x:v>
      </x:c>
      <x:c r="J5" s="4"/>
      <x:c r="K5" s="4" t="str">
        <x:v>Diferencia compresor vs línea</x:v>
      </x:c>
      <x:c r="L5" s="24" t="n">
        <x:f>L4-L3</x:f>
        <x:v>500000</x:v>
      </x:c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4" t="str">
        <x:v>Conexión</x:v>
      </x:c>
      <x:c r="B6" s="4" t="str">
        <x:v>Uniones neumáticas</x:v>
      </x:c>
      <x:c r="C6" s="4" t="str">
        <x:v>Suministros Neumáticos</x:v>
      </x:c>
      <x:c r="D6" s="4" t="n">
        <x:v>1</x:v>
      </x:c>
      <x:c r="E6" s="4" t="str">
        <x:v>lote</x:v>
      </x:c>
      <x:c r="F6" s="24" t="n">
        <x:v>22000</x:v>
      </x:c>
      <x:c r="G6" s="24" t="n">
        <x:f>D6*F6</x:f>
        <x:v>22000</x:v>
      </x:c>
      <x:c r="H6" s="4" t="str">
        <x:v>Costo dado por usuario</x:v>
      </x:c>
      <x:c r="I6" s="4" t="str">
        <x:v>Usuario</x:v>
      </x:c>
      <x:c r="J6" s="4"/>
      <x:c r="K6" s="4" t="str">
        <x:v>Costo directo de componentes</x:v>
      </x:c>
      <x:c r="L6" s="24" t="n">
        <x:f>SUM(G2:G9)</x:f>
        <x:v>578940</x:v>
      </x:c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4" t="str">
        <x:v>Ruido/escape</x:v>
      </x:c>
      <x:c r="B7" s="4" t="str">
        <x:v>Silenciador</x:v>
      </x:c>
      <x:c r="C7" s="4" t="str">
        <x:v>Suministros Neumáticos</x:v>
      </x:c>
      <x:c r="D7" s="4" t="n">
        <x:v>1</x:v>
      </x:c>
      <x:c r="E7" s="4" t="str">
        <x:v>unidad</x:v>
      </x:c>
      <x:c r="F7" s="24" t="n">
        <x:v>15000</x:v>
      </x:c>
      <x:c r="G7" s="24" t="n">
        <x:f>D7*F7</x:f>
        <x:v>15000</x:v>
      </x:c>
      <x:c r="H7" s="4" t="str">
        <x:v>Costo dado por usuario</x:v>
      </x:c>
      <x:c r="I7" s="4" t="str">
        <x:v>Usuario</x:v>
      </x:c>
      <x:c r="J7" s="4"/>
      <x:c r="K7" s="4" t="str">
        <x:v>Ingeniería + fabricación</x:v>
      </x:c>
      <x:c r="L7" s="24" t="n">
        <x:f>SUM(G10:G11)</x:f>
        <x:v>600000</x:v>
      </x:c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4" t="str">
        <x:v>Conexión</x:v>
      </x:c>
      <x:c r="B8" s="4" t="str">
        <x:v>Racor</x:v>
      </x:c>
      <x:c r="C8" s="4" t="str">
        <x:v>Suministros Neumáticos</x:v>
      </x:c>
      <x:c r="D8" s="4" t="n">
        <x:v>1</x:v>
      </x:c>
      <x:c r="E8" s="4" t="str">
        <x:v>unidad</x:v>
      </x:c>
      <x:c r="F8" s="24" t="n">
        <x:v>10000</x:v>
      </x:c>
      <x:c r="G8" s="24" t="n">
        <x:f>D8*F8</x:f>
        <x:v>10000</x:v>
      </x:c>
      <x:c r="H8" s="4" t="str">
        <x:v>Costo dado por usuario</x:v>
      </x:c>
      <x:c r="I8" s="4" t="str">
        <x:v>Usuario</x:v>
      </x:c>
      <x:c r="J8" s="4"/>
      <x:c r="K8" s="4" t="str">
        <x:v>Aire comprimido línea existente</x:v>
      </x:c>
      <x:c r="L8" s="24" t="n">
        <x:f>G12</x:f>
        <x:v>150000</x:v>
      </x:c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4" t="str">
        <x:v>Recubrimiento</x:v>
      </x:c>
      <x:c r="B9" s="4" t="str">
        <x:v>Kit epoxi / fibra para recubrimiento superficial</x:v>
      </x:c>
      <x:c r="C9" s="4" t="str">
        <x:v>Promedio mercado Colombia</x:v>
      </x:c>
      <x:c r="D9" s="4" t="n">
        <x:v>1</x:v>
      </x:c>
      <x:c r="E9" s="4" t="str">
        <x:v>kit</x:v>
      </x:c>
      <x:c r="F9" s="24" t="n">
        <x:v>110000</x:v>
      </x:c>
      <x:c r="G9" s="24" t="n">
        <x:f>D9*F9</x:f>
        <x:v>110000</x:v>
      </x:c>
      <x:c r="H9" s="4" t="str">
        <x:v>Resina epóxica para laminación/fibra; valor redondeado</x:v>
      </x:c>
      <x:c r="I9" s="4" t="str">
        <x:v>https://listado.mercadolibre.com.co/resina-epoxica-fibra-de-vidrio</x:v>
      </x:c>
      <x:c r="J9" s="4"/>
      <x:c r="K9" s="4" t="str">
        <x:v>Compresor independiente</x:v>
      </x:c>
      <x:c r="L9" s="24" t="n">
        <x:f>G13</x:f>
        <x:v>650000</x:v>
      </x:c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 t="str">
        <x:v>Ingeniería</x:v>
      </x:c>
      <x:c r="B10" s="4" t="str">
        <x:v>Planos de ingeniería 2D/3D + memoria corta</x:v>
      </x:c>
      <x:c r="C10" s="4" t="str">
        <x:v>Diseño / ingeniería</x:v>
      </x:c>
      <x:c r="D10" s="4" t="n">
        <x:v>1</x:v>
      </x:c>
      <x:c r="E10" s="4" t="str">
        <x:v>servicio</x:v>
      </x:c>
      <x:c r="F10" s="24" t="n">
        <x:v>350000</x:v>
      </x:c>
      <x:c r="G10" s="24" t="n">
        <x:f>D10*F10</x:f>
        <x:v>350000</x:v>
      </x:c>
      <x:c r="H10" s="4" t="str">
        <x:v>Promedio estimado para prototipo académico-industrial básico</x:v>
      </x:c>
      <x:c r="I10" s="4" t="str">
        <x:v>Estimación propia</x:v>
      </x:c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 t="str">
        <x:v>Fabricación</x:v>
      </x:c>
      <x:c r="B11" s="4" t="str">
        <x:v>Mano de obra fabricación, ensamble y pruebas</x:v>
      </x:c>
      <x:c r="C11" s="4" t="str">
        <x:v>Taller / técnico</x:v>
      </x:c>
      <x:c r="D11" s="4" t="n">
        <x:v>1</x:v>
      </x:c>
      <x:c r="E11" s="4" t="str">
        <x:v>servicio</x:v>
      </x:c>
      <x:c r="F11" s="24" t="n">
        <x:v>250000</x:v>
      </x:c>
      <x:c r="G11" s="24" t="n">
        <x:f>D11*F11</x:f>
        <x:v>250000</x:v>
      </x:c>
      <x:c r="H11" s="4" t="str">
        <x:v>Promedio para ensamble, ajustes y prueba de vacío</x:v>
      </x:c>
      <x:c r="I11" s="4" t="str">
        <x:v>Estimación propia</x:v>
      </x:c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 t="str">
        <x:v>Aire comprimido</x:v>
      </x:c>
      <x:c r="B12" s="4" t="str">
        <x:v>Opción A: conexión a línea de aire existente 6–8 bar</x:v>
      </x:c>
      <x:c r="C12" s="4" t="str">
        <x:v>Planta / red neumática</x:v>
      </x:c>
      <x:c r="D12" s="4" t="n">
        <x:v>1</x:v>
      </x:c>
      <x:c r="E12" s="4" t="str">
        <x:v>instalación</x:v>
      </x:c>
      <x:c r="F12" s="24" t="n">
        <x:v>150000</x:v>
      </x:c>
      <x:c r="G12" s="24" t="n">
        <x:f>D12*F12</x:f>
        <x:v>150000</x:v>
      </x:c>
      <x:c r="H12" s="4" t="str">
        <x:v>Incluye adecuación básica de línea, manguera y conexión</x:v>
      </x:c>
      <x:c r="I12" s="4" t="str">
        <x:v>Estimación propia</x:v>
      </x:c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 t="str">
        <x:v>Aire comprimido</x:v>
      </x:c>
      <x:c r="B13" s="4" t="str">
        <x:v>Opción B: compresor 8 bar 2 HP 24–25 L</x:v>
      </x:c>
      <x:c r="C13" s="4" t="str">
        <x:v>Proveedor ferretería Colombia</x:v>
      </x:c>
      <x:c r="D13" s="4" t="n">
        <x:v>1</x:v>
      </x:c>
      <x:c r="E13" s="4" t="str">
        <x:v>equipo</x:v>
      </x:c>
      <x:c r="F13" s="24" t="n">
        <x:v>650000</x:v>
      </x:c>
      <x:c r="G13" s="24" t="n">
        <x:f>D13*F13</x:f>
        <x:v>650000</x:v>
      </x:c>
      <x:c r="H13" s="4" t="str">
        <x:v>Compresor 2 HP, aprox. 8 bar; alternativa si no hay línea de aire</x:v>
      </x:c>
      <x:c r="I13" s="4" t="str">
        <x:v>https://www.easy.com.co/compresor-aire-horizonta-6-2cfm-2hp-24lt/p</x:v>
      </x:c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</x:sheetData>
  <x:conditionalFormatting sqref="G2:G13">
    <x:cfRule type="dataBar" priority="1">
      <x:dataBar>
        <x:cfvo type="min"/>
        <x:cfvo type="max"/>
        <x:color rgb="F2C230"/>
      </x:dataBar>
      <x:extLst>
        <x:ext xmlns:x14="http://schemas.microsoft.com/office/spreadsheetml/2009/9/main" uri="{B025F937-C7B1-47D3-B67F-A62EFF666E3E}">
          <x14:id>{2C44072E-D247-201D-6CAD-73C4EC6F3E0B}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13ef38f8ea24573"/>
  <x:tableParts count="1">
    <x:tablePart xmlns:r="http://schemas.openxmlformats.org/officeDocument/2006/relationships" r:id="Rc6651a7c79b2493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C44072E-D247-201D-6CAD-73C4EC6F3E0B}">
            <x14:dataBar gradient="1">
              <x14:cfvo type="min"/>
              <x14:cfvo type="max"/>
              <x14:fillColor rgb="F2C230"/>
            </x14:dataBar>
          </x14:cfRule>
          <xm:sqref>G2:G13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2" hidden="0" customWidth="1"/>
    <x:col min="4" max="4" width="34" hidden="0" customWidth="1"/>
    <x:col min="5" max="5" width="50" hidden="0" customWidth="1"/>
  </x:cols>
  <x:sheetData>
    <x:row r="1">
      <x:c r="A1" s="15" t="str">
        <x:v>Parámetro</x:v>
      </x:c>
      <x:c r="B1" s="15" t="str">
        <x:v>Valor</x:v>
      </x:c>
      <x:c r="C1" s="15" t="str">
        <x:v>Unidad</x:v>
      </x:c>
      <x:c r="D1" s="15" t="str">
        <x:v>Uso en cálculo</x:v>
      </x:c>
      <x:c r="E1" s="15" t="str">
        <x:v>Fuente / referencia</x:v>
      </x:c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4" t="str">
        <x:v>Presión requerida</x:v>
      </x:c>
      <x:c r="B2" s="4" t="n">
        <x:v>8</x:v>
      </x:c>
      <x:c r="C2" s="4" t="str">
        <x:v>bar</x:v>
      </x:c>
      <x:c r="D2" s="4" t="str">
        <x:v>Presión de diseño para alimentación neumática</x:v>
      </x:c>
      <x:c r="E2" s="4" t="str">
        <x:v>Usuario</x:v>
      </x:c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4" t="str">
        <x:v>Consumo aire eyector bajo</x:v>
      </x:c>
      <x:c r="B3" s="4" t="n">
        <x:v>55</x:v>
      </x:c>
      <x:c r="C3" s="4" t="str">
        <x:v>L/min</x:v>
      </x:c>
      <x:c r="D3" s="4" t="str">
        <x:v>Rango bajo de consumo para eyectores compactos</x:v>
      </x:c>
      <x:c r="E3" s="4" t="str">
        <x:v>https://pneumaticpowercontrol.com/wp-content/uploads/2022/07/VACIOS.pdf</x:v>
      </x:c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4" t="str">
        <x:v>Consumo aire eyector alto</x:v>
      </x:c>
      <x:c r="B4" s="4" t="n">
        <x:v>180</x:v>
      </x:c>
      <x:c r="C4" s="4" t="str">
        <x:v>L/min</x:v>
      </x:c>
      <x:c r="D4" s="4" t="str">
        <x:v>Rango alto conservador / eyectores más grandes</x:v>
      </x:c>
      <x:c r="E4" s="4" t="str">
        <x:v>https://www.homecenter.com.co/homecenter-co/product/689595/compresor-de-aire-horizontal-62cfm-2hp-24-litros-air-force/689595/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4" t="str">
        <x:v>Consumo eléctrico compresor 2 HP</x:v>
      </x:c>
      <x:c r="B5" s="4" t="n">
        <x:v>1.5</x:v>
      </x:c>
      <x:c r="C5" s="4" t="str">
        <x:v>kW</x:v>
      </x:c>
      <x:c r="D5" s="4" t="str">
        <x:v>Potencia nominal aproximada de compresor 2 HP</x:v>
      </x:c>
      <x:c r="E5" s="4" t="str">
        <x:v>https://www.homecenter.com.co/homecenter-co/product/689595/compresor-de-aire-horizontal-62cfm-2hp-24-litros-air-force/689595/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4" t="str">
        <x:v>Horas de uso por día</x:v>
      </x:c>
      <x:c r="B6" s="4" t="n">
        <x:v>2</x:v>
      </x:c>
      <x:c r="C6" s="4" t="str">
        <x:v>h/día</x:v>
      </x:c>
      <x:c r="D6" s="4" t="str">
        <x:v>Editable: operación estimada de pruebas/prototipo</x:v>
      </x:c>
      <x:c r="E6" s="4" t="str">
        <x:v>Supuesto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4" t="str">
        <x:v>Costo energía</x:v>
      </x:c>
      <x:c r="B7" s="4" t="n">
        <x:v>900</x:v>
      </x:c>
      <x:c r="C7" s="4" t="str">
        <x:v>COP/kWh</x:v>
      </x:c>
      <x:c r="D7" s="4" t="str">
        <x:v>Editable según tarifa local</x:v>
      </x:c>
      <x:c r="E7" s="4" t="str">
        <x:v>Supuesto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4" t="str">
        <x:v>Ciclo de trabajo estimado</x:v>
      </x:c>
      <x:c r="B8" s="4" t="n">
        <x:v>0.5</x:v>
      </x:c>
      <x:c r="C8" s="4" t="str">
        <x:v>fracción</x:v>
      </x:c>
      <x:c r="D8" s="4" t="str">
        <x:v>Compresor no trabaja 100% del tiempo</x:v>
      </x:c>
      <x:c r="E8" s="4" t="str">
        <x:v>Supuesto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4" t="str">
        <x:v>Consumo energético diario</x:v>
      </x:c>
      <x:c r="B9" s="26" t="n">
        <x:f>B5*B6*B8</x:f>
        <x:v>1.5</x:v>
      </x:c>
      <x:c r="C9" s="4" t="str">
        <x:v>kWh/día</x:v>
      </x:c>
      <x:c r="D9" s="4" t="str">
        <x:v>Potencia × horas × ciclo</x:v>
      </x:c>
      <x:c r="E9" s="4" t="str">
        <x:v>Cálculo</x:v>
      </x:c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 t="str">
        <x:v>Costo energético diario</x:v>
      </x:c>
      <x:c r="B10" s="24" t="n">
        <x:f>B9*B7</x:f>
        <x:v>1350</x:v>
      </x:c>
      <x:c r="C10" s="4" t="str">
        <x:v>COP/día</x:v>
      </x:c>
      <x:c r="D10" s="4" t="str">
        <x:v>kWh/día × tarifa</x:v>
      </x:c>
      <x:c r="E10" s="4" t="str">
        <x:v>Cálculo</x:v>
      </x:c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 t="str">
        <x:v>Costo energético mensual 22 días</x:v>
      </x:c>
      <x:c r="B11" s="24" t="n">
        <x:f>B10*22</x:f>
        <x:v>29700</x:v>
      </x:c>
      <x:c r="C11" s="4" t="str">
        <x:v>COP/mes</x:v>
      </x:c>
      <x:c r="D11" s="4" t="str">
        <x:v>Costo diario × 22 días</x:v>
      </x:c>
      <x:c r="E11" s="4" t="str">
        <x:v>Cálculo</x:v>
      </x:c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</x:sheetData>
  <x:pageMargins left="0.7" right="0.7" top="0.75" bottom="0.75" header="0.3" footer="0.3"/>
  <x:tableParts count="1">
    <x:tablePart xmlns:r="http://schemas.openxmlformats.org/officeDocument/2006/relationships" r:id="Rb158ffba50f147fe"/>
  </x:tableParts>
</x:worksheet>
</file>