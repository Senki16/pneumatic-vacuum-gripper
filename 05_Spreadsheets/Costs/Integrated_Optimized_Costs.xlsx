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23092c983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bde27d6042414d2e"/>
    <x:sheet xmlns:r="http://schemas.openxmlformats.org/officeDocument/2006/relationships" name="Costos Optimizados" sheetId="2" r:id="R35f024f4d6ce4348"/>
    <x:sheet xmlns:r="http://schemas.openxmlformats.org/officeDocument/2006/relationships" name="Cruce de Archivos" sheetId="3" r:id="R46a55a6f0f8a45d8"/>
    <x:sheet xmlns:r="http://schemas.openxmlformats.org/officeDocument/2006/relationships" name="Escenarios" sheetId="4" r:id="Rbb1d8667b23b4da4"/>
    <x:sheet xmlns:r="http://schemas.openxmlformats.org/officeDocument/2006/relationships" name="Supuestos" sheetId="5" r:id="Rcb77becf4135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 #,##0"/>
    <x:numFmt numFmtId="201" formatCode="#,##0.00"/>
    <x:numFmt numFmtId="202" formatCode="0.0%"/>
  </x:numFmts>
  <x:fonts count="9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b/>
      <x:sz val="11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color rgb="1F2937"/>
      <x:name val="Aptos"/>
    </x:font>
    <x:font>
      <x:b/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0B2E63"/>
      </x:patternFill>
    </x:fill>
    <x:fill>
      <x:patternFill patternType="solid">
        <x:fgColor rgb="FFC00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200" fontId="6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2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200" fontId="6" fillId="0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2" fontId="6" fillId="0" borderId="1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f44a623bb4676" /><Relationship Type="http://schemas.openxmlformats.org/officeDocument/2006/relationships/theme" Target="/xl/theme/theme1.xml" Id="Rd0a82524790a4ef5" /><Relationship Type="http://schemas.openxmlformats.org/officeDocument/2006/relationships/sharedStrings" Target="/xl/sharedStrings.xml" Id="Re22e9b51909e4345" /><Relationship Type="http://schemas.openxmlformats.org/officeDocument/2006/relationships/worksheet" Target="/xl/worksheets/sheet1.xml" Id="Rbde27d6042414d2e" /><Relationship Type="http://schemas.openxmlformats.org/officeDocument/2006/relationships/worksheet" Target="/xl/worksheets/sheet2.xml" Id="R35f024f4d6ce4348" /><Relationship Type="http://schemas.openxmlformats.org/officeDocument/2006/relationships/worksheet" Target="/xl/worksheets/sheet3.xml" Id="R46a55a6f0f8a45d8" /><Relationship Type="http://schemas.openxmlformats.org/officeDocument/2006/relationships/worksheet" Target="/xl/worksheets/sheet4.xml" Id="Rbb1d8667b23b4da4" /><Relationship Type="http://schemas.openxmlformats.org/officeDocument/2006/relationships/worksheet" Target="/xl/worksheets/sheet5.xml" Id="Rcb77becf413545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3ae2de2fa74cd3" /><Relationship Type="http://schemas.openxmlformats.org/officeDocument/2006/relationships/chart" Target="/xl/drawings/charts/chart2.xml" Id="R90b27710492848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Costo por escenario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Costo COP</c:v>
          </c:tx>
          <c:cat>
            <c:strRef>
              <c:f>'Resumen Ejecutivo'!$A$13:$A$16</c:f>
              <c:strCache>
                <c:ptCount val="0"/>
              </c:strCache>
            </c:strRef>
          </c:cat>
          <c:val>
            <c:numRef>
              <c:f>'Resumen Ejecutivo'!$B$13:$B$16</c:f>
              <c:numCache>
                <c:formatCode>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Composición del costo recomendado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Costo COP</c:v>
          </c:tx>
          <c:cat>
            <c:strRef>
              <c:f>'Resumen Ejecutivo'!$A$20:$A$25</c:f>
              <c:strCache>
                <c:ptCount val="0"/>
              </c:strCache>
            </c:strRef>
          </c:cat>
          <c:val>
            <c:numRef>
              <c:f>'Resumen Ejecutivo'!$B$20:$B$25</c:f>
              <c:numCache>
                <c:formatCode>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3ae2de2fa74cd3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b27710492848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ostosOptimizados" displayName="TablaCostosOptimizados" ref="A1:L16" headerRowCount="1">
  <x:tableColumns count="12">
    <x:tableColumn id="1" name="Categoría"/>
    <x:tableColumn id="2" name="Ítem"/>
    <x:tableColumn id="3" name="Proveedor / razón social"/>
    <x:tableColumn id="4" name="Cantidad"/>
    <x:tableColumn id="5" name="Unidad"/>
    <x:tableColumn id="6" name="Precio archivo usuario"/>
    <x:tableColumn id="7" name="Precio archivo cargado"/>
    <x:tableColumn id="8" name="Precio optimizado unitario"/>
    <x:tableColumn id="9" name="Subtotal optimizado"/>
    <x:tableColumn id="10" name="Tipo"/>
    <x:tableColumn id="11" name="Justificación de optimización"/>
    <x:tableColumn id="12" name="Fuente"/>
  </x:tableColumns>
  <x:tableStyleInfo name="TableStyleMedium2" showRowStripes="1"/>
</x:table>
</file>

<file path=xl/tables/table2.xml><?xml version="1.0" encoding="utf-8"?>
<x:table xmlns:x="http://schemas.openxmlformats.org/spreadsheetml/2006/main" id="3" name="TablaCruce" displayName="TablaCruce" ref="A1:F10" headerRowCount="1">
  <x:tableColumns count="6">
    <x:tableColumn id="1" name="Ítem"/>
    <x:tableColumn id="2" name="Archivo original COP"/>
    <x:tableColumn id="3" name="Archivo cargado COP"/>
    <x:tableColumn id="4" name="Decisión optimizada COP"/>
    <x:tableColumn id="5" name="Ahorro vs mayor referencia"/>
    <x:tableColumn id="6" name="Comentario"/>
  </x:tableColumns>
  <x:tableStyleInfo name="TableStyleMedium2" showRowStripes="1"/>
</x:table>
</file>

<file path=xl/tables/table3.xml><?xml version="1.0" encoding="utf-8"?>
<x:table xmlns:x="http://schemas.openxmlformats.org/spreadsheetml/2006/main" id="2" name="TablaEscenarios" displayName="TablaEscenarios" ref="A1:E6" headerRowCount="1">
  <x:tableColumns count="5">
    <x:tableColumn id="1" name="Escenario"/>
    <x:tableColumn id="2" name="Descripción"/>
    <x:tableColumn id="3" name="Fórmula / criterio"/>
    <x:tableColumn id="4" name="Costo total COP"/>
    <x:tableColumn id="5" name="Viabilidad"/>
  </x:tableColumns>
  <x:tableStyleInfo name="TableStyleMedium2" showRowStripes="1"/>
</x:table>
</file>

<file path=xl/tables/table4.xml><?xml version="1.0" encoding="utf-8"?>
<x:table xmlns:x="http://schemas.openxmlformats.org/spreadsheetml/2006/main" id="4" name="TablaSupuestos" displayName="TablaSupuestos" ref="A1:D11" headerRowCount="1">
  <x:tableColumns count="4">
    <x:tableColumn id="1" name="Supuesto"/>
    <x:tableColumn id="2" name="Valor"/>
    <x:tableColumn id="3" name="Unidad"/>
    <x:tableColumn id="4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49f5ca655d49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43833d6cee44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ac44e7d5a241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74fd19f8cd45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a083c467bd4ea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4" hidden="0" customHeight="1">
      <x:c r="A1" s="38" t="str">
        <x:v>COSTO INTEGRADO Y OPTIMIZADO - GRIPPER NEUMÁTICO POR VACÍO</x:v>
      </x:c>
      <x:c r="B1" s="39"/>
      <x:c r="C1" s="39"/>
      <x:c r="D1" s="39"/>
      <x:c r="E1" s="39"/>
      <x:c r="F1" s="39"/>
      <x:c r="G1" s="39"/>
      <x:c r="H1" s="39"/>
      <x:c r="I1" s="40"/>
      <x:c r="J1" s="40"/>
      <x:c r="K1" s="40"/>
      <x:c r="L1" s="40"/>
    </x:row>
    <x:row r="2" ht="15" hidden="0" customHeight="1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3" ht="15" hidden="0" customHeight="1">
      <x:c r="A3" s="41" t="str">
        <x:v>Indicador</x:v>
      </x:c>
      <x:c r="B3" s="41" t="str">
        <x:v>COP</x:v>
      </x:c>
      <x:c r="C3" s="40"/>
      <x:c r="D3" s="41" t="str">
        <x:v>Conclusión de viabilidad</x:v>
      </x:c>
      <x:c r="E3" s="40"/>
      <x:c r="F3" s="40"/>
      <x:c r="G3" s="40"/>
      <x:c r="H3" s="40"/>
      <x:c r="I3" s="40"/>
      <x:c r="J3" s="40"/>
      <x:c r="K3" s="40"/>
      <x:c r="L3" s="40"/>
    </x:row>
    <x:row r="4" ht="15" hidden="0" customHeight="1">
      <x:c r="A4" s="42" t="str">
        <x:v>Costo base optimizado</x:v>
      </x:c>
      <x:c r="B4" s="43" t="n">
        <x:f>'Escenarios'!D2</x:f>
        <x:v>474700</x:v>
      </x:c>
      <x:c r="C4" s="40"/>
      <x:c r="D4" s="44" t="str">
        <x:v>Técnica</x:v>
      </x:c>
      <x:c r="E4" s="40" t="str">
        <x:v>Alta: el gripper queda viable si se validan fugas, sellado y vacío real.</x:v>
      </x:c>
      <x:c r="F4" s="40"/>
      <x:c r="G4" s="40"/>
      <x:c r="H4" s="40"/>
      <x:c r="I4" s="40"/>
      <x:c r="J4" s="40"/>
      <x:c r="K4" s="40"/>
      <x:c r="L4" s="40"/>
    </x:row>
    <x:row r="5" ht="15" hidden="0" customHeight="1">
      <x:c r="A5" s="42" t="str">
        <x:v>Prototipo completo con línea lista</x:v>
      </x:c>
      <x:c r="B5" s="43" t="n">
        <x:f>'Escenarios'!D4</x:f>
        <x:v>1113170</x:v>
      </x:c>
      <x:c r="C5" s="40"/>
      <x:c r="D5" s="44" t="str">
        <x:v>Económica</x:v>
      </x:c>
      <x:c r="E5" s="40" t="str">
        <x:v>Muy alta con línea de aire existente; el compresor solo se justifica si no hay red neumática.</x:v>
      </x:c>
      <x:c r="F5" s="40"/>
      <x:c r="G5" s="40"/>
      <x:c r="H5" s="40"/>
      <x:c r="I5" s="40"/>
      <x:c r="J5" s="40"/>
      <x:c r="K5" s="40"/>
      <x:c r="L5" s="40"/>
    </x:row>
    <x:row r="6" ht="15" hidden="0" customHeight="1">
      <x:c r="A6" s="42" t="str">
        <x:v>Prototipo completo con adecuación línea</x:v>
      </x:c>
      <x:c r="B6" s="43" t="n">
        <x:f>'Escenarios'!D3</x:f>
        <x:v>1203170</x:v>
      </x:c>
      <x:c r="C6" s="40"/>
      <x:c r="D6" s="44" t="str">
        <x:v>Optimización clave</x:v>
      </x:c>
      <x:c r="E6" s="40" t="str">
        <x:v>Ignorar controlador y sensores reduce el costo y simplifica fabricación.</x:v>
      </x:c>
      <x:c r="F6" s="40"/>
      <x:c r="G6" s="40"/>
      <x:c r="H6" s="40"/>
      <x:c r="I6" s="40"/>
      <x:c r="J6" s="40"/>
      <x:c r="K6" s="40"/>
      <x:c r="L6" s="40"/>
    </x:row>
    <x:row r="7" ht="15" hidden="0" customHeight="1">
      <x:c r="A7" s="42" t="str">
        <x:v>Prototipo autónomo con compresor</x:v>
      </x:c>
      <x:c r="B7" s="43" t="n">
        <x:f>'Escenarios'!D5</x:f>
        <x:v>1763170</x:v>
      </x:c>
      <x:c r="C7" s="40"/>
      <x:c r="D7" s="44" t="str">
        <x:v>Riesgo principal</x:v>
      </x:c>
      <x:c r="E7" s="40" t="str">
        <x:v>Validar que racores/uniones cubran todas las conexiones reales del plano.</x:v>
      </x:c>
      <x:c r="F7" s="40"/>
      <x:c r="G7" s="40"/>
      <x:c r="H7" s="40"/>
      <x:c r="I7" s="40"/>
      <x:c r="J7" s="40"/>
      <x:c r="K7" s="40"/>
      <x:c r="L7" s="40"/>
    </x:row>
    <x:row r="8" ht="15" hidden="0" customHeight="1">
      <x:c r="A8" s="42" t="str">
        <x:v>Ahorro vs archivo cargado</x:v>
      </x:c>
      <x:c r="B8" s="43" t="n">
        <x:f>'Escenarios'!D6-'Escenarios'!D4</x:f>
        <x:v>588530</x:v>
      </x:c>
      <x:c r="C8" s="40"/>
      <x:c r="D8" s="44" t="str">
        <x:v>Recomendación</x:v>
      </x:c>
      <x:c r="E8" s="40" t="str">
        <x:v>Comprar base neumática primero, fabricar prototipo y dejar compresor como opcional.</x:v>
      </x:c>
      <x:c r="F8" s="40"/>
      <x:c r="G8" s="40"/>
      <x:c r="H8" s="40"/>
      <x:c r="I8" s="40"/>
      <x:c r="J8" s="40"/>
      <x:c r="K8" s="40"/>
      <x:c r="L8" s="40"/>
    </x:row>
    <x:row r="9" ht="15" hidden="0" customHeight="1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 ht="15" hidden="0" customHeight="1">
      <x:c r="A10" s="45" t="str">
        <x:v>Comparativo de escenarios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 ht="15" hidden="0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 ht="15" hidden="0" customHeight="1">
      <x:c r="A12" s="41" t="str">
        <x:v>Escenario</x:v>
      </x:c>
      <x:c r="B12" s="41" t="str">
        <x:v>Costo COP</x:v>
      </x:c>
      <x:c r="C12" s="41" t="str">
        <x:v>Viabilidad</x:v>
      </x:c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 ht="15" hidden="0" customHeight="1">
      <x:c r="A13" s="40" t="str">
        <x:v>Base optimizado sin aire</x:v>
      </x:c>
      <x:c r="B13" s="43" t="n">
        <x:f>'Escenarios'!D2</x:f>
        <x:v>474700</x:v>
      </x:c>
      <x:c r="C13" s="40" t="str">
        <x:v>Alta</x:v>
      </x:c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 ht="15" hidden="0" customHeight="1">
      <x:c r="A14" s="40" t="str">
        <x:v>Completo con línea lista</x:v>
      </x:c>
      <x:c r="B14" s="43" t="n">
        <x:f>'Escenarios'!D4</x:f>
        <x:v>1113170</x:v>
      </x:c>
      <x:c r="C14" s="40" t="str">
        <x:v>Muy alta</x:v>
      </x:c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 ht="15" hidden="0" customHeight="1">
      <x:c r="A15" s="40" t="str">
        <x:v>Completo con adecuación línea</x:v>
      </x:c>
      <x:c r="B15" s="43" t="n">
        <x:f>'Escenarios'!D3</x:f>
        <x:v>1203170</x:v>
      </x:c>
      <x:c r="C15" s="40" t="str">
        <x:v>Muy alta</x:v>
      </x:c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 ht="15" hidden="0" customHeight="1">
      <x:c r="A16" s="40" t="str">
        <x:v>Autónomo con compresor</x:v>
      </x:c>
      <x:c r="B16" s="43" t="n">
        <x:f>'Escenarios'!D5</x:f>
        <x:v>1763170</x:v>
      </x:c>
      <x:c r="C16" s="40" t="str">
        <x:v>Media-alta</x:v>
      </x:c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 ht="15" hidden="0" customHeight="1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 ht="15" hidden="0" customHeight="1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 ht="15" hidden="0" customHeight="1">
      <x:c r="A19" s="41" t="str">
        <x:v>Categoría</x:v>
      </x:c>
      <x:c r="B19" s="41" t="str">
        <x:v>Costo COP</x:v>
      </x:c>
      <x:c r="C19" s="41" t="str">
        <x:v>% del prototipo línea lista</x:v>
      </x:c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 ht="15" hidden="0" customHeight="1">
      <x:c r="A20" s="40" t="str">
        <x:v>Material + recubrimiento</x:v>
      </x:c>
      <x:c r="B20" s="43" t="n">
        <x:f>SUMIFS('Costos Optimizados'!I2:I16,'Costos Optimizados'!A2:A16,"Material base")+SUMIFS('Costos Optimizados'!I2:I16,'Costos Optimizados'!A2:A16,"Recubrimiento")</x:f>
        <x:v>157500</x:v>
      </x:c>
      <x:c r="C20" s="46" t="n">
        <x:f>B20/$B$6</x:f>
        <x:v>0.13090419475219628</x:v>
      </x:c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 ht="15" hidden="0" customHeight="1">
      <x:c r="A21" s="40" t="str">
        <x:v>Neumática / conexión</x:v>
      </x:c>
      <x:c r="B21" s="43" t="n">
        <x:f>SUMIFS('Costos Optimizados'!I2:I16,'Costos Optimizados'!A2:A16,"Agarre")+SUMIFS('Costos Optimizados'!I2:I16,'Costos Optimizados'!A2:A16,"Fijación")+SUMIFS('Costos Optimizados'!I2:I16,'Costos Optimizados'!A2:A16,"Vacío")+SUMIFS('Costos Optimizados'!I2:I16,'Costos Optimizados'!A2:A16,"Conexión")+SUMIFS('Costos Optimizados'!I2:I16,'Costos Optimizados'!A2:A16,"Ruido/escape")+SUMIFS('Costos Optimizados'!I2:I16,'Costos Optimizados'!A2:A16,"Aire comprimido",'Costos Optimizados'!J2:J16,"Base")</x:f>
        <x:v>317200</x:v>
      </x:c>
      <x:c r="C21" s="46" t="n">
        <x:f>B21/$B$6</x:f>
        <x:v>0.263636892542201</x:v>
      </x:c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 ht="15" hidden="0" customHeight="1">
      <x:c r="A22" s="40" t="str">
        <x:v>Ingeniería</x:v>
      </x:c>
      <x:c r="B22" s="43" t="n">
        <x:f>SUMIFS('Costos Optimizados'!I2:I16,'Costos Optimizados'!J2:J16,"Ingeniería")</x:f>
        <x:v>250000</x:v>
      </x:c>
      <x:c r="C22" s="46" t="n">
        <x:f>B22/$B$6</x:f>
        <x:v>0.20778443611459727</x:v>
      </x:c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 ht="15" hidden="0" customHeight="1">
      <x:c r="A23" s="40" t="str">
        <x:v>Fabricación</x:v>
      </x:c>
      <x:c r="B23" s="43" t="n">
        <x:f>SUMIFS('Costos Optimizados'!I2:I16,'Costos Optimizados'!J2:J16,"Fabricación")</x:f>
        <x:v>220000</x:v>
      </x:c>
      <x:c r="C23" s="46" t="n">
        <x:f>B23/$B$6</x:f>
        <x:v>0.1828503037808456</x:v>
      </x:c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 ht="15" hidden="0" customHeight="1">
      <x:c r="A24" s="40" t="str">
        <x:v>Aire línea</x:v>
      </x:c>
      <x:c r="B24" s="43" t="n">
        <x:f>SUMIFS('Costos Optimizados'!I2:I16,'Costos Optimizados'!J2:J16,"Opcional A",'Costos Optimizados'!B2:B16,"Adecuación básica de línea de aire")</x:f>
        <x:v>90000</x:v>
      </x:c>
      <x:c r="C24" s="46" t="n">
        <x:f>B24/$B$6</x:f>
        <x:v>0.07480239700125502</x:v>
      </x:c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 ht="15" hidden="0" customHeight="1">
      <x:c r="A25" s="40" t="str">
        <x:v>Contingencia</x:v>
      </x:c>
      <x:c r="B25" s="43" t="n">
        <x:f>SUMIFS('Costos Optimizados'!I2:I16,'Costos Optimizados'!J2:J16,"Reserva")</x:f>
        <x:v>168470</x:v>
      </x:c>
      <x:c r="C25" s="46" t="n">
        <x:f>B25/$B$6</x:f>
        <x:v>0.14002177580890482</x:v>
      </x:c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 ht="15" hidden="0" customHeight="1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 ht="15" hidden="0" customHeight="1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 ht="15" hidden="0" customHeight="1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 ht="15" hidden="0" customHeight="1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 ht="15" hidden="0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 ht="15" hidden="0" customHeight="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 ht="15" hidden="0" customHeight="1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 ht="15" hidden="0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 ht="15" hidden="0" customHeight="1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 ht="15" hidden="0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 ht="15" hidden="0" customHeight="1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 ht="15" hidden="0" customHeight="1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 ht="15" hidden="0" customHeight="1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 ht="15" hidden="0" customHeight="1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 ht="15" hidden="0" customHeight="1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 ht="15" hidden="0" customHeight="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 ht="15" hidden="0" customHeight="1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 ht="15" hidden="0" customHeight="1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 ht="15" hidden="0" customHeight="1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 ht="15" hidden="0" customHeight="1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 ht="15" hidden="0" customHeight="1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 ht="15" hidden="0" customHeight="1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 ht="15" hidden="0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 ht="15" hidden="0" customHeight="1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 ht="15" hidden="0" customHeight="1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 ht="15" hidden="0" customHeight="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 ht="15" hidden="0" customHeight="1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 ht="15" hidden="0" customHeight="1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 ht="15" hidden="0" customHeight="1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 ht="15" hidden="0" customHeight="1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 ht="15" hidden="0" customHeight="1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 ht="15" hidden="0" customHeight="1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 ht="15" hidden="0" customHeight="1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 ht="15" hidden="0" customHeight="1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 ht="15" hidden="0" customHeight="1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 ht="15" hidden="0" customHeight="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 ht="15" hidden="0" customHeight="1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 ht="15" hidden="0" customHeight="1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 ht="15" hidden="0" customHeight="1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 ht="15" hidden="0" customHeight="1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 ht="15" hidden="0" customHeight="1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 ht="15" hidden="0" customHeight="1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 ht="15" hidden="0" customHeight="1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 ht="15" hidden="0" customHeight="1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 ht="15" hidden="0" customHeight="1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 ht="15" hidden="0" customHeight="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 ht="15" hidden="0" customHeight="1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 ht="15" hidden="0" customHeight="1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 ht="15" hidden="0" customHeight="1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 ht="15" hidden="0" customHeight="1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 ht="15" hidden="0" customHeight="1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 ht="15" hidden="0" customHeight="1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 ht="15" hidden="0" customHeight="1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 ht="15" hidden="0" customHeight="1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 ht="15" hidden="0" customHeight="1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 ht="15" hidden="0" customHeight="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 ht="15" hidden="0" customHeight="1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 ht="15" hidden="0" customHeight="1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 ht="15" hidden="0" customHeight="1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 ht="15" hidden="0" customHeight="1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 ht="15" hidden="0" customHeight="1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 ht="15" hidden="0" customHeight="1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 ht="15" hidden="0" customHeight="1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 ht="15" hidden="0" customHeight="1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 ht="15" hidden="0" customHeight="1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 ht="15" hidden="0" customHeight="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 ht="15" hidden="0" customHeight="1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 ht="15" hidden="0" customHeight="1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 ht="15" hidden="0" customHeight="1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 ht="15" hidden="0" customHeight="1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 ht="15" hidden="0" customHeight="1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 ht="15" hidden="0" customHeight="1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 ht="15" hidden="0" customHeight="1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 ht="15" hidden="0" customHeight="1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 ht="15" hidden="0" customHeight="1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</x:sheetData>
  <x:mergeCells>
    <x:mergeCell ref="A1:H1"/>
    <x:mergeCell ref="D3:H3"/>
    <x:mergeCell ref="E4:H4"/>
    <x:mergeCell ref="E5:H5"/>
    <x:mergeCell ref="E6:H6"/>
    <x:mergeCell ref="E7:H7"/>
    <x:mergeCell ref="E8:H8"/>
    <x:mergeCell ref="A10:H10"/>
  </x:mergeCells>
  <x:pageMargins left="0.7" right="0.7" top="0.75" bottom="0.75" header="0.3" footer="0.3"/>
  <x:drawing xmlns:r="http://schemas.openxmlformats.org/officeDocument/2006/relationships" r:id="Rc349f5ca655d493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11" max="11" width="44" hidden="0" customWidth="1"/>
    <x:col min="12" max="12" width="25" hidden="0" customWidth="1"/>
  </x:cols>
  <x:sheetData>
    <x:row r="1" ht="36" hidden="0" customHeight="1">
      <x:c r="A1" s="38" t="str">
        <x:v>Categoría</x:v>
      </x:c>
      <x:c r="B1" s="38" t="str">
        <x:v>Ítem</x:v>
      </x:c>
      <x:c r="C1" s="38" t="str">
        <x:v>Proveedor / razón social</x:v>
      </x:c>
      <x:c r="D1" s="38" t="str">
        <x:v>Cantidad</x:v>
      </x:c>
      <x:c r="E1" s="38" t="str">
        <x:v>Unidad</x:v>
      </x:c>
      <x:c r="F1" s="38" t="str">
        <x:v>Precio archivo usuario</x:v>
      </x:c>
      <x:c r="G1" s="38" t="str">
        <x:v>Precio archivo cargado</x:v>
      </x:c>
      <x:c r="H1" s="38" t="str">
        <x:v>Precio optimizado unitario</x:v>
      </x:c>
      <x:c r="I1" s="38" t="str">
        <x:v>Subtotal optimizado</x:v>
      </x:c>
      <x:c r="J1" s="38" t="str">
        <x:v>Tipo</x:v>
      </x:c>
      <x:c r="K1" s="38" t="str">
        <x:v>Justificación de optimización</x:v>
      </x:c>
      <x:c r="L1" s="38" t="str">
        <x:v>Fuente</x:v>
      </x:c>
    </x:row>
    <x:row r="2" ht="24" hidden="0" customHeight="1">
      <x:c r="A2" s="39" t="str">
        <x:v>Material base</x:v>
      </x:c>
      <x:c r="B2" s="39" t="str">
        <x:v>Resina / filamento impresión 3D</x:v>
      </x:c>
      <x:c r="C2" s="39" t="str">
        <x:v>Proveedor impresión 3D / laboratorio</x:v>
      </x:c>
      <x:c r="D2" s="39" t="n">
        <x:v>1</x:v>
      </x:c>
      <x:c r="E2" s="39" t="str">
        <x:v>lote</x:v>
      </x:c>
      <x:c r="F2" s="56" t="n">
        <x:v>110000</x:v>
      </x:c>
      <x:c r="G2" s="56" t="n">
        <x:v>92500</x:v>
      </x:c>
      <x:c r="H2" s="56" t="n">
        <x:v>92500</x:v>
      </x:c>
      <x:c r="I2" s="56" t="n">
        <x:f>IF(H2="",0,D2*H2)</x:f>
        <x:v>92500</x:v>
      </x:c>
      <x:c r="J2" s="39" t="str">
        <x:v>Base</x:v>
      </x:c>
      <x:c r="K2" s="39" t="str">
        <x:v>Se toma menor valor cruzado, manteniendo impresión 3D funcional.</x:v>
      </x:c>
      <x:c r="L2" s="39" t="str">
        <x:v>Archivo original + archivo cargado</x:v>
      </x:c>
    </x:row>
    <x:row r="3" ht="24" hidden="0" customHeight="1">
      <x:c r="A3" s="39" t="str">
        <x:v>Recubrimiento</x:v>
      </x:c>
      <x:c r="B3" s="39" t="str">
        <x:v>Epoxi/fibra para recubrimiento superficial</x:v>
      </x:c>
      <x:c r="C3" s="39" t="str">
        <x:v>Promedio mercado Colombia</x:v>
      </x:c>
      <x:c r="D3" s="39" t="n">
        <x:v>1</x:v>
      </x:c>
      <x:c r="E3" s="39" t="str">
        <x:v>kit</x:v>
      </x:c>
      <x:c r="F3" s="56" t="n">
        <x:v>110000</x:v>
      </x:c>
      <x:c r="G3" s="56"/>
      <x:c r="H3" s="56" t="n">
        <x:v>65000</x:v>
      </x:c>
      <x:c r="I3" s="56" t="n">
        <x:f>IF(H3="",0,D3*H3)</x:f>
        <x:v>65000</x:v>
      </x:c>
      <x:c r="J3" s="39" t="str">
        <x:v>Base</x:v>
      </x:c>
      <x:c r="K3" s="39" t="str">
        <x:v>Kit pequeño para sellado superficial y refuerzo; valor optimizado sobre estimación previa.</x:v>
      </x:c>
      <x:c r="L3" s="39" t="str">
        <x:v>Estimación promedio</x:v>
      </x:c>
    </x:row>
    <x:row r="4" ht="24" hidden="0" customHeight="1">
      <x:c r="A4" s="39" t="str">
        <x:v>Agarre</x:v>
      </x:c>
      <x:c r="B4" s="39" t="str">
        <x:v>Ventosas fuelle Ø25 mm</x:v>
      </x:c>
      <x:c r="C4" s="39" t="str">
        <x:v>Suministros Neumáticos</x:v>
      </x:c>
      <x:c r="D4" s="39" t="n">
        <x:v>4</x:v>
      </x:c>
      <x:c r="E4" s="39" t="str">
        <x:v>unidad</x:v>
      </x:c>
      <x:c r="F4" s="56" t="n">
        <x:v>40000</x:v>
      </x:c>
      <x:c r="G4" s="56" t="n">
        <x:v>27500</x:v>
      </x:c>
      <x:c r="H4" s="56" t="n">
        <x:v>27500</x:v>
      </x:c>
      <x:c r="I4" s="56" t="n">
        <x:f>IF(H4="",0,D4*H4)</x:f>
        <x:v>110000</x:v>
      </x:c>
      <x:c r="J4" s="39" t="str">
        <x:v>Base</x:v>
      </x:c>
      <x:c r="K4" s="39" t="str">
        <x:v>Se toma precio unitario menor del archivo cargado como objetivo de negociación.</x:v>
      </x:c>
      <x:c r="L4" s="39" t="str">
        <x:v>Archivo cargado + razón social indicada</x:v>
      </x:c>
    </x:row>
    <x:row r="5" ht="24" hidden="0" customHeight="1">
      <x:c r="A5" s="39" t="str">
        <x:v>Fijación</x:v>
      </x:c>
      <x:c r="B5" s="39" t="str">
        <x:v>Tornillería lote</x:v>
      </x:c>
      <x:c r="C5" s="39" t="str">
        <x:v>Mundial de Tornillos</x:v>
      </x:c>
      <x:c r="D5" s="39" t="n">
        <x:v>1</x:v>
      </x:c>
      <x:c r="E5" s="39" t="str">
        <x:v>lote</x:v>
      </x:c>
      <x:c r="F5" s="56" t="n">
        <x:v>6940</x:v>
      </x:c>
      <x:c r="G5" s="56" t="n">
        <x:v>5200</x:v>
      </x:c>
      <x:c r="H5" s="56" t="n">
        <x:v>5200</x:v>
      </x:c>
      <x:c r="I5" s="56" t="n">
        <x:f>IF(H5="",0,D5*H5)</x:f>
        <x:v>5200</x:v>
      </x:c>
      <x:c r="J5" s="39" t="str">
        <x:v>Base</x:v>
      </x:c>
      <x:c r="K5" s="39" t="str">
        <x:v>Se toma menor valor cruzado para tornillos M4/lote equivalente.</x:v>
      </x:c>
      <x:c r="L5" s="39" t="str">
        <x:v>Archivo original + archivo cargado</x:v>
      </x:c>
    </x:row>
    <x:row r="6" ht="24" hidden="0" customHeight="1">
      <x:c r="A6" s="39" t="str">
        <x:v>Vacío</x:v>
      </x:c>
      <x:c r="B6" s="39" t="str">
        <x:v>Eyector Venturi</x:v>
      </x:c>
      <x:c r="C6" s="39" t="str">
        <x:v>Suministros Neumáticos</x:v>
      </x:c>
      <x:c r="D6" s="39" t="n">
        <x:v>1</x:v>
      </x:c>
      <x:c r="E6" s="39" t="str">
        <x:v>unidad</x:v>
      </x:c>
      <x:c r="F6" s="56" t="n">
        <x:v>145000</x:v>
      </x:c>
      <x:c r="G6" s="56" t="n">
        <x:v>325000</x:v>
      </x:c>
      <x:c r="H6" s="56" t="n">
        <x:v>145000</x:v>
      </x:c>
      <x:c r="I6" s="56" t="n">
        <x:f>IF(H6="",0,D6*H6)</x:f>
        <x:v>145000</x:v>
      </x:c>
      <x:c r="J6" s="39" t="str">
        <x:v>Base</x:v>
      </x:c>
      <x:c r="K6" s="39" t="str">
        <x:v>Se conserva cotización menor del usuario; es el mayor ahorro frente al archivo cargado.</x:v>
      </x:c>
      <x:c r="L6" s="39" t="str">
        <x:v>Archivo original</x:v>
      </x:c>
    </x:row>
    <x:row r="7" ht="15" hidden="0" customHeight="1">
      <x:c r="A7" s="39" t="str">
        <x:v>Conexión</x:v>
      </x:c>
      <x:c r="B7" s="39" t="str">
        <x:v>Uniones neumáticas</x:v>
      </x:c>
      <x:c r="C7" s="39" t="str">
        <x:v>Suministros Neumáticos</x:v>
      </x:c>
      <x:c r="D7" s="39" t="n">
        <x:v>1</x:v>
      </x:c>
      <x:c r="E7" s="39" t="str">
        <x:v>lote</x:v>
      </x:c>
      <x:c r="F7" s="56" t="n">
        <x:v>22000</x:v>
      </x:c>
      <x:c r="G7" s="56"/>
      <x:c r="H7" s="56" t="n">
        <x:v>22000</x:v>
      </x:c>
      <x:c r="I7" s="56" t="n">
        <x:f>IF(H7="",0,D7*H7)</x:f>
        <x:v>22000</x:v>
      </x:c>
      <x:c r="J7" s="39" t="str">
        <x:v>Base</x:v>
      </x:c>
      <x:c r="K7" s="39" t="str">
        <x:v>Se conserva valor cotizado por usuario.</x:v>
      </x:c>
      <x:c r="L7" s="39" t="str">
        <x:v>Archivo original</x:v>
      </x:c>
    </x:row>
    <x:row r="8" ht="15" hidden="0" customHeight="1">
      <x:c r="A8" s="39" t="str">
        <x:v>Ruido/escape</x:v>
      </x:c>
      <x:c r="B8" s="39" t="str">
        <x:v>Silenciador neumático</x:v>
      </x:c>
      <x:c r="C8" s="39" t="str">
        <x:v>Suministros Neumáticos</x:v>
      </x:c>
      <x:c r="D8" s="39" t="n">
        <x:v>1</x:v>
      </x:c>
      <x:c r="E8" s="39" t="str">
        <x:v>unidad</x:v>
      </x:c>
      <x:c r="F8" s="56" t="n">
        <x:v>15000</x:v>
      </x:c>
      <x:c r="G8" s="56"/>
      <x:c r="H8" s="56" t="n">
        <x:v>15000</x:v>
      </x:c>
      <x:c r="I8" s="56" t="n">
        <x:f>IF(H8="",0,D8*H8)</x:f>
        <x:v>15000</x:v>
      </x:c>
      <x:c r="J8" s="39" t="str">
        <x:v>Base</x:v>
      </x:c>
      <x:c r="K8" s="39" t="str">
        <x:v>Se conserva valor cotizado por usuario.</x:v>
      </x:c>
      <x:c r="L8" s="39" t="str">
        <x:v>Archivo original</x:v>
      </x:c>
    </x:row>
    <x:row r="9" ht="24" hidden="0" customHeight="1">
      <x:c r="A9" s="39" t="str">
        <x:v>Conexión</x:v>
      </x:c>
      <x:c r="B9" s="39" t="str">
        <x:v>Racor</x:v>
      </x:c>
      <x:c r="C9" s="39" t="str">
        <x:v>Suministros Neumáticos</x:v>
      </x:c>
      <x:c r="D9" s="39" t="n">
        <x:v>1</x:v>
      </x:c>
      <x:c r="E9" s="39" t="str">
        <x:v>unidad/lote</x:v>
      </x:c>
      <x:c r="F9" s="56" t="n">
        <x:v>10000</x:v>
      </x:c>
      <x:c r="G9" s="56" t="n">
        <x:v>70000</x:v>
      </x:c>
      <x:c r="H9" s="56" t="n">
        <x:v>10000</x:v>
      </x:c>
      <x:c r="I9" s="56" t="n">
        <x:f>IF(H9="",0,D9*H9)</x:f>
        <x:v>10000</x:v>
      </x:c>
      <x:c r="J9" s="39" t="str">
        <x:v>Base</x:v>
      </x:c>
      <x:c r="K9" s="39" t="str">
        <x:v>Se conserva valor menor del usuario; validar si cubre todos los racores requeridos.</x:v>
      </x:c>
      <x:c r="L9" s="39" t="str">
        <x:v>Archivo original</x:v>
      </x:c>
    </x:row>
    <x:row r="10" ht="24" hidden="0" customHeight="1">
      <x:c r="A10" s="39" t="str">
        <x:v>Aire comprimido</x:v>
      </x:c>
      <x:c r="B10" s="39" t="str">
        <x:v>Tubería neumática Ø6 mm</x:v>
      </x:c>
      <x:c r="C10" s="39" t="str">
        <x:v>Suministros Neumáticos / ferretería</x:v>
      </x:c>
      <x:c r="D10" s="39" t="n">
        <x:v>2</x:v>
      </x:c>
      <x:c r="E10" s="39" t="str">
        <x:v>m</x:v>
      </x:c>
      <x:c r="F10" s="56"/>
      <x:c r="G10" s="56" t="n">
        <x:v>5000</x:v>
      </x:c>
      <x:c r="H10" s="56" t="n">
        <x:v>5000</x:v>
      </x:c>
      <x:c r="I10" s="56" t="n">
        <x:f>IF(H10="",0,D10*H10)</x:f>
        <x:v>10000</x:v>
      </x:c>
      <x:c r="J10" s="39" t="str">
        <x:v>Base</x:v>
      </x:c>
      <x:c r="K10" s="39" t="str">
        <x:v>Se agrega porque aparece en el archivo cargado y es necesaria para conexión.</x:v>
      </x:c>
      <x:c r="L10" s="39" t="str">
        <x:v>Archivo cargado</x:v>
      </x:c>
    </x:row>
    <x:row r="11" ht="15" hidden="0" customHeight="1">
      <x:c r="A11" s="39" t="str">
        <x:v>Aire comprimido</x:v>
      </x:c>
      <x:c r="B11" s="39" t="str">
        <x:v>Línea de aire existente 6–8 bar</x:v>
      </x:c>
      <x:c r="C11" s="39" t="str">
        <x:v>Planta / laboratorio</x:v>
      </x:c>
      <x:c r="D11" s="39" t="n">
        <x:v>1</x:v>
      </x:c>
      <x:c r="E11" s="39" t="str">
        <x:v>servicio</x:v>
      </x:c>
      <x:c r="F11" s="56" t="n">
        <x:v>150000</x:v>
      </x:c>
      <x:c r="G11" s="56" t="n">
        <x:v>0</x:v>
      </x:c>
      <x:c r="H11" s="56" t="n">
        <x:v>0</x:v>
      </x:c>
      <x:c r="I11" s="56" t="n">
        <x:f>IF(H11="",0,D11*H11)</x:f>
        <x:v>0</x:v>
      </x:c>
      <x:c r="J11" s="39" t="str">
        <x:v>Opcional A</x:v>
      </x:c>
      <x:c r="K11" s="39" t="str">
        <x:v>Costo optimizado cero si ya existe red neumática disponible.</x:v>
      </x:c>
      <x:c r="L11" s="39" t="str">
        <x:v>Archivo original + cargado</x:v>
      </x:c>
    </x:row>
    <x:row r="12" ht="24" hidden="0" customHeight="1">
      <x:c r="A12" s="39" t="str">
        <x:v>Aire comprimido</x:v>
      </x:c>
      <x:c r="B12" s="39" t="str">
        <x:v>Adecuación básica de línea de aire</x:v>
      </x:c>
      <x:c r="C12" s="39" t="str">
        <x:v>Planta / técnico</x:v>
      </x:c>
      <x:c r="D12" s="39" t="n">
        <x:v>1</x:v>
      </x:c>
      <x:c r="E12" s="39" t="str">
        <x:v>servicio</x:v>
      </x:c>
      <x:c r="F12" s="56" t="n">
        <x:v>150000</x:v>
      </x:c>
      <x:c r="G12" s="56"/>
      <x:c r="H12" s="56" t="n">
        <x:v>90000</x:v>
      </x:c>
      <x:c r="I12" s="56" t="n">
        <x:f>IF(H12="",0,D12*H12)</x:f>
        <x:v>90000</x:v>
      </x:c>
      <x:c r="J12" s="39" t="str">
        <x:v>Opcional A</x:v>
      </x:c>
      <x:c r="K12" s="39" t="str">
        <x:v>Valor reducido para manguera, conexión y prueba si la línea ya existe.</x:v>
      </x:c>
      <x:c r="L12" s="39" t="str">
        <x:v>Estimación propia</x:v>
      </x:c>
    </x:row>
    <x:row r="13" ht="24" hidden="0" customHeight="1">
      <x:c r="A13" s="39" t="str">
        <x:v>Aire comprimido</x:v>
      </x:c>
      <x:c r="B13" s="39" t="str">
        <x:v>Compresor 8 bar 2 HP 24–25 L</x:v>
      </x:c>
      <x:c r="C13" s="39" t="str">
        <x:v>Ferretería / proveedor local</x:v>
      </x:c>
      <x:c r="D13" s="39" t="n">
        <x:v>1</x:v>
      </x:c>
      <x:c r="E13" s="39" t="str">
        <x:v>equipo</x:v>
      </x:c>
      <x:c r="F13" s="56" t="n">
        <x:v>650000</x:v>
      </x:c>
      <x:c r="G13" s="56"/>
      <x:c r="H13" s="56" t="n">
        <x:v>650000</x:v>
      </x:c>
      <x:c r="I13" s="56" t="n">
        <x:f>IF(H13="",0,D13*H13)</x:f>
        <x:v>650000</x:v>
      </x:c>
      <x:c r="J13" s="39" t="str">
        <x:v>Opcional B</x:v>
      </x:c>
      <x:c r="K13" s="39" t="str">
        <x:v>Solo si no hay línea de aire disponible; no se incluye en costo base optimizado.</x:v>
      </x:c>
      <x:c r="L13" s="39" t="str">
        <x:v>Archivo original</x:v>
      </x:c>
    </x:row>
    <x:row r="14" ht="24" hidden="0" customHeight="1">
      <x:c r="A14" s="39" t="str">
        <x:v>Ingeniería</x:v>
      </x:c>
      <x:c r="B14" s="39" t="str">
        <x:v>Planos 2D/3D + memoria corta</x:v>
      </x:c>
      <x:c r="C14" s="39" t="str">
        <x:v>Diseño / ingeniería</x:v>
      </x:c>
      <x:c r="D14" s="39" t="n">
        <x:v>1</x:v>
      </x:c>
      <x:c r="E14" s="39" t="str">
        <x:v>servicio</x:v>
      </x:c>
      <x:c r="F14" s="56" t="n">
        <x:v>350000</x:v>
      </x:c>
      <x:c r="G14" s="56" t="n">
        <x:v>360000</x:v>
      </x:c>
      <x:c r="H14" s="56" t="n">
        <x:v>250000</x:v>
      </x:c>
      <x:c r="I14" s="56" t="n">
        <x:f>IF(H14="",0,D14*H14)</x:f>
        <x:v>250000</x:v>
      </x:c>
      <x:c r="J14" s="39" t="str">
        <x:v>Ingeniería</x:v>
      </x:c>
      <x:c r="K14" s="39" t="str">
        <x:v>Costo optimizado para paquete académico-industrial básico, sin controlador ni sensores.</x:v>
      </x:c>
      <x:c r="L14" s="39" t="str">
        <x:v>Promedio ajustado</x:v>
      </x:c>
    </x:row>
    <x:row r="15" ht="24" hidden="0" customHeight="1">
      <x:c r="A15" s="39" t="str">
        <x:v>Fabricación</x:v>
      </x:c>
      <x:c r="B15" s="39" t="str">
        <x:v>Impresión 3D, postproceso, ensamble y prueba</x:v>
      </x:c>
      <x:c r="C15" s="39" t="str">
        <x:v>Taller / laboratorio</x:v>
      </x:c>
      <x:c r="D15" s="39" t="n">
        <x:v>1</x:v>
      </x:c>
      <x:c r="E15" s="39" t="str">
        <x:v>servicio</x:v>
      </x:c>
      <x:c r="F15" s="56" t="n">
        <x:v>250000</x:v>
      </x:c>
      <x:c r="G15" s="56" t="n">
        <x:v>225000</x:v>
      </x:c>
      <x:c r="H15" s="56" t="n">
        <x:v>220000</x:v>
      </x:c>
      <x:c r="I15" s="56" t="n">
        <x:f>IF(H15="",0,D15*H15)</x:f>
        <x:v>220000</x:v>
      </x:c>
      <x:c r="J15" s="39" t="str">
        <x:v>Fabricación</x:v>
      </x:c>
      <x:c r="K15" s="39" t="str">
        <x:v>Integra impresión/postproceso/ensamble del archivo cargado, optimizado por paquete único.</x:v>
      </x:c>
      <x:c r="L15" s="39" t="str">
        <x:v>Archivo original + cargado</x:v>
      </x:c>
    </x:row>
    <x:row r="16" ht="24" hidden="0" customHeight="1">
      <x:c r="A16" s="39" t="str">
        <x:v>Reserva</x:v>
      </x:c>
      <x:c r="B16" s="39" t="str">
        <x:v>Contingencia técnica 10% sobre costo base</x:v>
      </x:c>
      <x:c r="C16" s="39" t="str">
        <x:v>Presupuesto</x:v>
      </x:c>
      <x:c r="D16" s="39" t="n">
        <x:v>1</x:v>
      </x:c>
      <x:c r="E16" s="39" t="str">
        <x:v>%</x:v>
      </x:c>
      <x:c r="F16" s="56"/>
      <x:c r="G16" s="56"/>
      <x:c r="H16" s="56"/>
      <x:c r="I16" s="56" t="n">
        <x:f>SUM(I2:I15)*10%</x:f>
        <x:v>168470</x:v>
      </x:c>
      <x:c r="J16" s="39" t="str">
        <x:v>Reserva</x:v>
      </x:c>
      <x:c r="K16" s="39" t="str">
        <x:v>Formula para cubrir variaciones de precio, fugas, racores adicionales o adhesivos.</x:v>
      </x:c>
      <x:c r="L16" s="39" t="str">
        <x:v>Cálculo</x:v>
      </x:c>
    </x:row>
    <x:row r="17" ht="15" hidden="0" customHeight="1">
      <x:c r="A17" s="40"/>
      <x:c r="B17" s="40"/>
      <x:c r="C17" s="40"/>
      <x:c r="D17" s="40"/>
      <x:c r="E17" s="40"/>
      <x:c r="F17" s="43"/>
      <x:c r="G17" s="43"/>
      <x:c r="H17" s="43"/>
      <x:c r="I17" s="43"/>
      <x:c r="J17" s="40"/>
      <x:c r="K17" s="40"/>
      <x:c r="L17" s="40"/>
    </x:row>
    <x:row r="18" ht="15" hidden="0" customHeight="1">
      <x:c r="A18" s="40"/>
      <x:c r="B18" s="40"/>
      <x:c r="C18" s="40"/>
      <x:c r="D18" s="40"/>
      <x:c r="E18" s="40"/>
      <x:c r="F18" s="43"/>
      <x:c r="G18" s="43"/>
      <x:c r="H18" s="43"/>
      <x:c r="I18" s="43"/>
      <x:c r="J18" s="40"/>
      <x:c r="K18" s="40"/>
      <x:c r="L18" s="40"/>
    </x:row>
    <x:row r="19" ht="15" hidden="0" customHeight="1">
      <x:c r="A19" s="40"/>
      <x:c r="B19" s="40"/>
      <x:c r="C19" s="40"/>
      <x:c r="D19" s="40"/>
      <x:c r="E19" s="40"/>
      <x:c r="F19" s="43"/>
      <x:c r="G19" s="43"/>
      <x:c r="H19" s="43"/>
      <x:c r="I19" s="43"/>
      <x:c r="J19" s="40"/>
      <x:c r="K19" s="40"/>
      <x:c r="L19" s="40"/>
    </x:row>
    <x:row r="20" ht="15" hidden="0" customHeight="1">
      <x:c r="A20" s="40"/>
      <x:c r="B20" s="40"/>
      <x:c r="C20" s="40"/>
      <x:c r="D20" s="40"/>
      <x:c r="E20" s="40"/>
      <x:c r="F20" s="43"/>
      <x:c r="G20" s="43"/>
      <x:c r="H20" s="43"/>
      <x:c r="I20" s="43"/>
      <x:c r="J20" s="40"/>
      <x:c r="K20" s="40"/>
      <x:c r="L20" s="40"/>
    </x:row>
    <x:row r="21" ht="15" hidden="0" customHeight="1">
      <x:c r="A21" s="40"/>
      <x:c r="B21" s="40"/>
      <x:c r="C21" s="40"/>
      <x:c r="D21" s="40"/>
      <x:c r="E21" s="40"/>
      <x:c r="F21" s="43"/>
      <x:c r="G21" s="43"/>
      <x:c r="H21" s="43"/>
      <x:c r="I21" s="43"/>
      <x:c r="J21" s="40"/>
      <x:c r="K21" s="40"/>
      <x:c r="L21" s="40"/>
    </x:row>
    <x:row r="22" ht="15" hidden="0" customHeight="1">
      <x:c r="A22" s="40"/>
      <x:c r="B22" s="40"/>
      <x:c r="C22" s="40"/>
      <x:c r="D22" s="40"/>
      <x:c r="E22" s="40"/>
      <x:c r="F22" s="43"/>
      <x:c r="G22" s="43"/>
      <x:c r="H22" s="43"/>
      <x:c r="I22" s="43"/>
      <x:c r="J22" s="40"/>
      <x:c r="K22" s="40"/>
      <x:c r="L22" s="40"/>
    </x:row>
    <x:row r="23" ht="15" hidden="0" customHeight="1">
      <x:c r="A23" s="40"/>
      <x:c r="B23" s="40"/>
      <x:c r="C23" s="40"/>
      <x:c r="D23" s="40"/>
      <x:c r="E23" s="40"/>
      <x:c r="F23" s="43"/>
      <x:c r="G23" s="43"/>
      <x:c r="H23" s="43"/>
      <x:c r="I23" s="43"/>
      <x:c r="J23" s="40"/>
      <x:c r="K23" s="40"/>
      <x:c r="L23" s="40"/>
    </x:row>
    <x:row r="24" ht="15" hidden="0" customHeight="1">
      <x:c r="A24" s="40"/>
      <x:c r="B24" s="40"/>
      <x:c r="C24" s="40"/>
      <x:c r="D24" s="40"/>
      <x:c r="E24" s="40"/>
      <x:c r="F24" s="43"/>
      <x:c r="G24" s="43"/>
      <x:c r="H24" s="43"/>
      <x:c r="I24" s="43"/>
      <x:c r="J24" s="40"/>
      <x:c r="K24" s="40"/>
      <x:c r="L24" s="40"/>
    </x:row>
    <x:row r="25" ht="15" hidden="0" customHeight="1">
      <x:c r="A25" s="40"/>
      <x:c r="B25" s="40"/>
      <x:c r="C25" s="40"/>
      <x:c r="D25" s="40"/>
      <x:c r="E25" s="40"/>
      <x:c r="F25" s="43"/>
      <x:c r="G25" s="43"/>
      <x:c r="H25" s="43"/>
      <x:c r="I25" s="43"/>
      <x:c r="J25" s="40"/>
      <x:c r="K25" s="40"/>
      <x:c r="L25" s="40"/>
    </x:row>
    <x:row r="26" ht="15" hidden="0" customHeight="1">
      <x:c r="A26" s="40"/>
      <x:c r="B26" s="40"/>
      <x:c r="C26" s="40"/>
      <x:c r="D26" s="40"/>
      <x:c r="E26" s="40"/>
      <x:c r="F26" s="43"/>
      <x:c r="G26" s="43"/>
      <x:c r="H26" s="43"/>
      <x:c r="I26" s="43"/>
      <x:c r="J26" s="40"/>
      <x:c r="K26" s="40"/>
      <x:c r="L26" s="40"/>
    </x:row>
    <x:row r="27" ht="15" hidden="0" customHeight="1">
      <x:c r="A27" s="40"/>
      <x:c r="B27" s="40"/>
      <x:c r="C27" s="40"/>
      <x:c r="D27" s="40"/>
      <x:c r="E27" s="40"/>
      <x:c r="F27" s="43"/>
      <x:c r="G27" s="43"/>
      <x:c r="H27" s="43"/>
      <x:c r="I27" s="43"/>
      <x:c r="J27" s="40"/>
      <x:c r="K27" s="40"/>
      <x:c r="L27" s="40"/>
    </x:row>
    <x:row r="28" ht="15" hidden="0" customHeight="1">
      <x:c r="A28" s="40"/>
      <x:c r="B28" s="40"/>
      <x:c r="C28" s="40"/>
      <x:c r="D28" s="40"/>
      <x:c r="E28" s="40"/>
      <x:c r="F28" s="43"/>
      <x:c r="G28" s="43"/>
      <x:c r="H28" s="43"/>
      <x:c r="I28" s="43"/>
      <x:c r="J28" s="40"/>
      <x:c r="K28" s="40"/>
      <x:c r="L28" s="40"/>
    </x:row>
    <x:row r="29" ht="15" hidden="0" customHeight="1">
      <x:c r="A29" s="40"/>
      <x:c r="B29" s="40"/>
      <x:c r="C29" s="40"/>
      <x:c r="D29" s="40"/>
      <x:c r="E29" s="40"/>
      <x:c r="F29" s="43"/>
      <x:c r="G29" s="43"/>
      <x:c r="H29" s="43"/>
      <x:c r="I29" s="43"/>
      <x:c r="J29" s="40"/>
      <x:c r="K29" s="40"/>
      <x:c r="L29" s="40"/>
    </x:row>
    <x:row r="30" ht="15" hidden="0" customHeight="1">
      <x:c r="A30" s="40"/>
      <x:c r="B30" s="40"/>
      <x:c r="C30" s="40"/>
      <x:c r="D30" s="40"/>
      <x:c r="E30" s="40"/>
      <x:c r="F30" s="43"/>
      <x:c r="G30" s="43"/>
      <x:c r="H30" s="43"/>
      <x:c r="I30" s="43"/>
      <x:c r="J30" s="40"/>
      <x:c r="K30" s="40"/>
      <x:c r="L30" s="40"/>
    </x:row>
    <x:row r="31" ht="15" hidden="0" customHeight="1">
      <x:c r="A31" s="40"/>
      <x:c r="B31" s="40"/>
      <x:c r="C31" s="40"/>
      <x:c r="D31" s="40"/>
      <x:c r="E31" s="40"/>
      <x:c r="F31" s="43"/>
      <x:c r="G31" s="43"/>
      <x:c r="H31" s="43"/>
      <x:c r="I31" s="43"/>
      <x:c r="J31" s="40"/>
      <x:c r="K31" s="40"/>
      <x:c r="L31" s="40"/>
    </x:row>
    <x:row r="32" ht="15" hidden="0" customHeight="1">
      <x:c r="A32" s="40"/>
      <x:c r="B32" s="40"/>
      <x:c r="C32" s="40"/>
      <x:c r="D32" s="40"/>
      <x:c r="E32" s="40"/>
      <x:c r="F32" s="43"/>
      <x:c r="G32" s="43"/>
      <x:c r="H32" s="43"/>
      <x:c r="I32" s="43"/>
      <x:c r="J32" s="40"/>
      <x:c r="K32" s="40"/>
      <x:c r="L32" s="40"/>
    </x:row>
    <x:row r="33" ht="15" hidden="0" customHeight="1">
      <x:c r="A33" s="40"/>
      <x:c r="B33" s="40"/>
      <x:c r="C33" s="40"/>
      <x:c r="D33" s="40"/>
      <x:c r="E33" s="40"/>
      <x:c r="F33" s="43"/>
      <x:c r="G33" s="43"/>
      <x:c r="H33" s="43"/>
      <x:c r="I33" s="43"/>
      <x:c r="J33" s="40"/>
      <x:c r="K33" s="40"/>
      <x:c r="L33" s="40"/>
    </x:row>
    <x:row r="34" ht="15" hidden="0" customHeight="1">
      <x:c r="A34" s="40"/>
      <x:c r="B34" s="40"/>
      <x:c r="C34" s="40"/>
      <x:c r="D34" s="40"/>
      <x:c r="E34" s="40"/>
      <x:c r="F34" s="43"/>
      <x:c r="G34" s="43"/>
      <x:c r="H34" s="43"/>
      <x:c r="I34" s="43"/>
      <x:c r="J34" s="40"/>
      <x:c r="K34" s="40"/>
      <x:c r="L34" s="40"/>
    </x:row>
    <x:row r="35" ht="15" hidden="0" customHeight="1">
      <x:c r="A35" s="40"/>
      <x:c r="B35" s="40"/>
      <x:c r="C35" s="40"/>
      <x:c r="D35" s="40"/>
      <x:c r="E35" s="40"/>
      <x:c r="F35" s="43"/>
      <x:c r="G35" s="43"/>
      <x:c r="H35" s="43"/>
      <x:c r="I35" s="43"/>
      <x:c r="J35" s="40"/>
      <x:c r="K35" s="40"/>
      <x:c r="L35" s="40"/>
    </x:row>
    <x:row r="36" ht="15" hidden="0" customHeight="1">
      <x:c r="A36" s="40"/>
      <x:c r="B36" s="40"/>
      <x:c r="C36" s="40"/>
      <x:c r="D36" s="40"/>
      <x:c r="E36" s="40"/>
      <x:c r="F36" s="43"/>
      <x:c r="G36" s="43"/>
      <x:c r="H36" s="43"/>
      <x:c r="I36" s="43"/>
      <x:c r="J36" s="40"/>
      <x:c r="K36" s="40"/>
      <x:c r="L36" s="40"/>
    </x:row>
    <x:row r="37" ht="15" hidden="0" customHeight="1">
      <x:c r="A37" s="40"/>
      <x:c r="B37" s="40"/>
      <x:c r="C37" s="40"/>
      <x:c r="D37" s="40"/>
      <x:c r="E37" s="40"/>
      <x:c r="F37" s="43"/>
      <x:c r="G37" s="43"/>
      <x:c r="H37" s="43"/>
      <x:c r="I37" s="43"/>
      <x:c r="J37" s="40"/>
      <x:c r="K37" s="40"/>
      <x:c r="L37" s="40"/>
    </x:row>
    <x:row r="38" ht="15" hidden="0" customHeight="1">
      <x:c r="A38" s="40"/>
      <x:c r="B38" s="40"/>
      <x:c r="C38" s="40"/>
      <x:c r="D38" s="40"/>
      <x:c r="E38" s="40"/>
      <x:c r="F38" s="43"/>
      <x:c r="G38" s="43"/>
      <x:c r="H38" s="43"/>
      <x:c r="I38" s="43"/>
      <x:c r="J38" s="40"/>
      <x:c r="K38" s="40"/>
      <x:c r="L38" s="40"/>
    </x:row>
    <x:row r="39" ht="15" hidden="0" customHeight="1">
      <x:c r="A39" s="40"/>
      <x:c r="B39" s="40"/>
      <x:c r="C39" s="40"/>
      <x:c r="D39" s="40"/>
      <x:c r="E39" s="40"/>
      <x:c r="F39" s="43"/>
      <x:c r="G39" s="43"/>
      <x:c r="H39" s="43"/>
      <x:c r="I39" s="43"/>
      <x:c r="J39" s="40"/>
      <x:c r="K39" s="40"/>
      <x:c r="L39" s="40"/>
    </x:row>
    <x:row r="40" ht="15" hidden="0" customHeight="1">
      <x:c r="A40" s="40"/>
      <x:c r="B40" s="40"/>
      <x:c r="C40" s="40"/>
      <x:c r="D40" s="40"/>
      <x:c r="E40" s="40"/>
      <x:c r="F40" s="43"/>
      <x:c r="G40" s="43"/>
      <x:c r="H40" s="43"/>
      <x:c r="I40" s="43"/>
      <x:c r="J40" s="40"/>
      <x:c r="K40" s="40"/>
      <x:c r="L40" s="40"/>
    </x:row>
    <x:row r="41" ht="15" hidden="0" customHeight="1">
      <x:c r="A41" s="40"/>
      <x:c r="B41" s="40"/>
      <x:c r="C41" s="40"/>
      <x:c r="D41" s="40"/>
      <x:c r="E41" s="40"/>
      <x:c r="F41" s="43"/>
      <x:c r="G41" s="43"/>
      <x:c r="H41" s="43"/>
      <x:c r="I41" s="43"/>
      <x:c r="J41" s="40"/>
      <x:c r="K41" s="40"/>
      <x:c r="L41" s="40"/>
    </x:row>
    <x:row r="42" ht="15" hidden="0" customHeight="1">
      <x:c r="A42" s="40"/>
      <x:c r="B42" s="40"/>
      <x:c r="C42" s="40"/>
      <x:c r="D42" s="40"/>
      <x:c r="E42" s="40"/>
      <x:c r="F42" s="43"/>
      <x:c r="G42" s="43"/>
      <x:c r="H42" s="43"/>
      <x:c r="I42" s="43"/>
      <x:c r="J42" s="40"/>
      <x:c r="K42" s="40"/>
      <x:c r="L42" s="40"/>
    </x:row>
    <x:row r="43" ht="15" hidden="0" customHeight="1">
      <x:c r="A43" s="40"/>
      <x:c r="B43" s="40"/>
      <x:c r="C43" s="40"/>
      <x:c r="D43" s="40"/>
      <x:c r="E43" s="40"/>
      <x:c r="F43" s="43"/>
      <x:c r="G43" s="43"/>
      <x:c r="H43" s="43"/>
      <x:c r="I43" s="43"/>
      <x:c r="J43" s="40"/>
      <x:c r="K43" s="40"/>
      <x:c r="L43" s="40"/>
    </x:row>
    <x:row r="44" ht="15" hidden="0" customHeight="1">
      <x:c r="A44" s="40"/>
      <x:c r="B44" s="40"/>
      <x:c r="C44" s="40"/>
      <x:c r="D44" s="40"/>
      <x:c r="E44" s="40"/>
      <x:c r="F44" s="43"/>
      <x:c r="G44" s="43"/>
      <x:c r="H44" s="43"/>
      <x:c r="I44" s="43"/>
      <x:c r="J44" s="40"/>
      <x:c r="K44" s="40"/>
      <x:c r="L44" s="40"/>
    </x:row>
    <x:row r="45" ht="15" hidden="0" customHeight="1">
      <x:c r="A45" s="40"/>
      <x:c r="B45" s="40"/>
      <x:c r="C45" s="40"/>
      <x:c r="D45" s="40"/>
      <x:c r="E45" s="40"/>
      <x:c r="F45" s="43"/>
      <x:c r="G45" s="43"/>
      <x:c r="H45" s="43"/>
      <x:c r="I45" s="43"/>
      <x:c r="J45" s="40"/>
      <x:c r="K45" s="40"/>
      <x:c r="L45" s="40"/>
    </x:row>
    <x:row r="46" ht="15" hidden="0" customHeight="1">
      <x:c r="A46" s="40"/>
      <x:c r="B46" s="40"/>
      <x:c r="C46" s="40"/>
      <x:c r="D46" s="40"/>
      <x:c r="E46" s="40"/>
      <x:c r="F46" s="43"/>
      <x:c r="G46" s="43"/>
      <x:c r="H46" s="43"/>
      <x:c r="I46" s="43"/>
      <x:c r="J46" s="40"/>
      <x:c r="K46" s="40"/>
      <x:c r="L46" s="40"/>
    </x:row>
    <x:row r="47" ht="15" hidden="0" customHeight="1">
      <x:c r="A47" s="40"/>
      <x:c r="B47" s="40"/>
      <x:c r="C47" s="40"/>
      <x:c r="D47" s="40"/>
      <x:c r="E47" s="40"/>
      <x:c r="F47" s="43"/>
      <x:c r="G47" s="43"/>
      <x:c r="H47" s="43"/>
      <x:c r="I47" s="43"/>
      <x:c r="J47" s="40"/>
      <x:c r="K47" s="40"/>
      <x:c r="L47" s="40"/>
    </x:row>
    <x:row r="48" ht="15" hidden="0" customHeight="1">
      <x:c r="A48" s="40"/>
      <x:c r="B48" s="40"/>
      <x:c r="C48" s="40"/>
      <x:c r="D48" s="40"/>
      <x:c r="E48" s="40"/>
      <x:c r="F48" s="43"/>
      <x:c r="G48" s="43"/>
      <x:c r="H48" s="43"/>
      <x:c r="I48" s="43"/>
      <x:c r="J48" s="40"/>
      <x:c r="K48" s="40"/>
      <x:c r="L48" s="40"/>
    </x:row>
    <x:row r="49" ht="15" hidden="0" customHeight="1">
      <x:c r="A49" s="40"/>
      <x:c r="B49" s="40"/>
      <x:c r="C49" s="40"/>
      <x:c r="D49" s="40"/>
      <x:c r="E49" s="40"/>
      <x:c r="F49" s="43"/>
      <x:c r="G49" s="43"/>
      <x:c r="H49" s="43"/>
      <x:c r="I49" s="43"/>
      <x:c r="J49" s="40"/>
      <x:c r="K49" s="40"/>
      <x:c r="L49" s="40"/>
    </x:row>
    <x:row r="50" ht="15" hidden="0" customHeight="1">
      <x:c r="A50" s="40"/>
      <x:c r="B50" s="40"/>
      <x:c r="C50" s="40"/>
      <x:c r="D50" s="40"/>
      <x:c r="E50" s="40"/>
      <x:c r="F50" s="43"/>
      <x:c r="G50" s="43"/>
      <x:c r="H50" s="43"/>
      <x:c r="I50" s="43"/>
      <x:c r="J50" s="40"/>
      <x:c r="K50" s="40"/>
      <x:c r="L50" s="40"/>
    </x:row>
    <x:row r="51" ht="15" hidden="0" customHeight="1">
      <x:c r="A51" s="40"/>
      <x:c r="B51" s="40"/>
      <x:c r="C51" s="40"/>
      <x:c r="D51" s="40"/>
      <x:c r="E51" s="40"/>
      <x:c r="F51" s="43"/>
      <x:c r="G51" s="43"/>
      <x:c r="H51" s="43"/>
      <x:c r="I51" s="43"/>
      <x:c r="J51" s="40"/>
      <x:c r="K51" s="40"/>
      <x:c r="L51" s="40"/>
    </x:row>
    <x:row r="52" ht="15" hidden="0" customHeight="1">
      <x:c r="A52" s="40"/>
      <x:c r="B52" s="40"/>
      <x:c r="C52" s="40"/>
      <x:c r="D52" s="40"/>
      <x:c r="E52" s="40"/>
      <x:c r="F52" s="43"/>
      <x:c r="G52" s="43"/>
      <x:c r="H52" s="43"/>
      <x:c r="I52" s="43"/>
      <x:c r="J52" s="40"/>
      <x:c r="K52" s="40"/>
      <x:c r="L52" s="40"/>
    </x:row>
    <x:row r="53" ht="15" hidden="0" customHeight="1">
      <x:c r="A53" s="40"/>
      <x:c r="B53" s="40"/>
      <x:c r="C53" s="40"/>
      <x:c r="D53" s="40"/>
      <x:c r="E53" s="40"/>
      <x:c r="F53" s="43"/>
      <x:c r="G53" s="43"/>
      <x:c r="H53" s="43"/>
      <x:c r="I53" s="43"/>
      <x:c r="J53" s="40"/>
      <x:c r="K53" s="40"/>
      <x:c r="L53" s="40"/>
    </x:row>
    <x:row r="54" ht="15" hidden="0" customHeight="1">
      <x:c r="A54" s="40"/>
      <x:c r="B54" s="40"/>
      <x:c r="C54" s="40"/>
      <x:c r="D54" s="40"/>
      <x:c r="E54" s="40"/>
      <x:c r="F54" s="43"/>
      <x:c r="G54" s="43"/>
      <x:c r="H54" s="43"/>
      <x:c r="I54" s="43"/>
      <x:c r="J54" s="40"/>
      <x:c r="K54" s="40"/>
      <x:c r="L54" s="40"/>
    </x:row>
    <x:row r="55" ht="15" hidden="0" customHeight="1">
      <x:c r="A55" s="40"/>
      <x:c r="B55" s="40"/>
      <x:c r="C55" s="40"/>
      <x:c r="D55" s="40"/>
      <x:c r="E55" s="40"/>
      <x:c r="F55" s="43"/>
      <x:c r="G55" s="43"/>
      <x:c r="H55" s="43"/>
      <x:c r="I55" s="43"/>
      <x:c r="J55" s="40"/>
      <x:c r="K55" s="40"/>
      <x:c r="L55" s="40"/>
    </x:row>
    <x:row r="56" ht="15" hidden="0" customHeight="1">
      <x:c r="A56" s="40"/>
      <x:c r="B56" s="40"/>
      <x:c r="C56" s="40"/>
      <x:c r="D56" s="40"/>
      <x:c r="E56" s="40"/>
      <x:c r="F56" s="43"/>
      <x:c r="G56" s="43"/>
      <x:c r="H56" s="43"/>
      <x:c r="I56" s="43"/>
      <x:c r="J56" s="40"/>
      <x:c r="K56" s="40"/>
      <x:c r="L56" s="40"/>
    </x:row>
    <x:row r="57" ht="15" hidden="0" customHeight="1">
      <x:c r="A57" s="40"/>
      <x:c r="B57" s="40"/>
      <x:c r="C57" s="40"/>
      <x:c r="D57" s="40"/>
      <x:c r="E57" s="40"/>
      <x:c r="F57" s="43"/>
      <x:c r="G57" s="43"/>
      <x:c r="H57" s="43"/>
      <x:c r="I57" s="43"/>
      <x:c r="J57" s="40"/>
      <x:c r="K57" s="40"/>
      <x:c r="L57" s="40"/>
    </x:row>
    <x:row r="58" ht="15" hidden="0" customHeight="1">
      <x:c r="A58" s="40"/>
      <x:c r="B58" s="40"/>
      <x:c r="C58" s="40"/>
      <x:c r="D58" s="40"/>
      <x:c r="E58" s="40"/>
      <x:c r="F58" s="43"/>
      <x:c r="G58" s="43"/>
      <x:c r="H58" s="43"/>
      <x:c r="I58" s="43"/>
      <x:c r="J58" s="40"/>
      <x:c r="K58" s="40"/>
      <x:c r="L58" s="40"/>
    </x:row>
    <x:row r="59" ht="15" hidden="0" customHeight="1">
      <x:c r="A59" s="40"/>
      <x:c r="B59" s="40"/>
      <x:c r="C59" s="40"/>
      <x:c r="D59" s="40"/>
      <x:c r="E59" s="40"/>
      <x:c r="F59" s="43"/>
      <x:c r="G59" s="43"/>
      <x:c r="H59" s="43"/>
      <x:c r="I59" s="43"/>
      <x:c r="J59" s="40"/>
      <x:c r="K59" s="40"/>
      <x:c r="L59" s="40"/>
    </x:row>
    <x:row r="60" ht="15" hidden="0" customHeight="1">
      <x:c r="A60" s="40"/>
      <x:c r="B60" s="40"/>
      <x:c r="C60" s="40"/>
      <x:c r="D60" s="40"/>
      <x:c r="E60" s="40"/>
      <x:c r="F60" s="43"/>
      <x:c r="G60" s="43"/>
      <x:c r="H60" s="43"/>
      <x:c r="I60" s="43"/>
      <x:c r="J60" s="40"/>
      <x:c r="K60" s="40"/>
      <x:c r="L60" s="40"/>
    </x:row>
    <x:row r="61" ht="15" hidden="0" customHeight="1">
      <x:c r="A61" s="40"/>
      <x:c r="B61" s="40"/>
      <x:c r="C61" s="40"/>
      <x:c r="D61" s="40"/>
      <x:c r="E61" s="40"/>
      <x:c r="F61" s="43"/>
      <x:c r="G61" s="43"/>
      <x:c r="H61" s="43"/>
      <x:c r="I61" s="43"/>
      <x:c r="J61" s="40"/>
      <x:c r="K61" s="40"/>
      <x:c r="L61" s="40"/>
    </x:row>
    <x:row r="62" ht="15" hidden="0" customHeight="1">
      <x:c r="A62" s="40"/>
      <x:c r="B62" s="40"/>
      <x:c r="C62" s="40"/>
      <x:c r="D62" s="40"/>
      <x:c r="E62" s="40"/>
      <x:c r="F62" s="43"/>
      <x:c r="G62" s="43"/>
      <x:c r="H62" s="43"/>
      <x:c r="I62" s="43"/>
      <x:c r="J62" s="40"/>
      <x:c r="K62" s="40"/>
      <x:c r="L62" s="40"/>
    </x:row>
    <x:row r="63" ht="15" hidden="0" customHeight="1">
      <x:c r="A63" s="40"/>
      <x:c r="B63" s="40"/>
      <x:c r="C63" s="40"/>
      <x:c r="D63" s="40"/>
      <x:c r="E63" s="40"/>
      <x:c r="F63" s="43"/>
      <x:c r="G63" s="43"/>
      <x:c r="H63" s="43"/>
      <x:c r="I63" s="43"/>
      <x:c r="J63" s="40"/>
      <x:c r="K63" s="40"/>
      <x:c r="L63" s="40"/>
    </x:row>
    <x:row r="64" ht="15" hidden="0" customHeight="1">
      <x:c r="A64" s="40"/>
      <x:c r="B64" s="40"/>
      <x:c r="C64" s="40"/>
      <x:c r="D64" s="40"/>
      <x:c r="E64" s="40"/>
      <x:c r="F64" s="43"/>
      <x:c r="G64" s="43"/>
      <x:c r="H64" s="43"/>
      <x:c r="I64" s="43"/>
      <x:c r="J64" s="40"/>
      <x:c r="K64" s="40"/>
      <x:c r="L64" s="40"/>
    </x:row>
    <x:row r="65" ht="15" hidden="0" customHeight="1">
      <x:c r="A65" s="40"/>
      <x:c r="B65" s="40"/>
      <x:c r="C65" s="40"/>
      <x:c r="D65" s="40"/>
      <x:c r="E65" s="40"/>
      <x:c r="F65" s="43"/>
      <x:c r="G65" s="43"/>
      <x:c r="H65" s="43"/>
      <x:c r="I65" s="43"/>
      <x:c r="J65" s="40"/>
      <x:c r="K65" s="40"/>
      <x:c r="L65" s="40"/>
    </x:row>
    <x:row r="66" ht="15" hidden="0" customHeight="1">
      <x:c r="A66" s="40"/>
      <x:c r="B66" s="40"/>
      <x:c r="C66" s="40"/>
      <x:c r="D66" s="40"/>
      <x:c r="E66" s="40"/>
      <x:c r="F66" s="43"/>
      <x:c r="G66" s="43"/>
      <x:c r="H66" s="43"/>
      <x:c r="I66" s="43"/>
      <x:c r="J66" s="40"/>
      <x:c r="K66" s="40"/>
      <x:c r="L66" s="40"/>
    </x:row>
    <x:row r="67" ht="15" hidden="0" customHeight="1">
      <x:c r="A67" s="40"/>
      <x:c r="B67" s="40"/>
      <x:c r="C67" s="40"/>
      <x:c r="D67" s="40"/>
      <x:c r="E67" s="40"/>
      <x:c r="F67" s="43"/>
      <x:c r="G67" s="43"/>
      <x:c r="H67" s="43"/>
      <x:c r="I67" s="43"/>
      <x:c r="J67" s="40"/>
      <x:c r="K67" s="40"/>
      <x:c r="L67" s="40"/>
    </x:row>
    <x:row r="68" ht="15" hidden="0" customHeight="1">
      <x:c r="A68" s="40"/>
      <x:c r="B68" s="40"/>
      <x:c r="C68" s="40"/>
      <x:c r="D68" s="40"/>
      <x:c r="E68" s="40"/>
      <x:c r="F68" s="43"/>
      <x:c r="G68" s="43"/>
      <x:c r="H68" s="43"/>
      <x:c r="I68" s="43"/>
      <x:c r="J68" s="40"/>
      <x:c r="K68" s="40"/>
      <x:c r="L68" s="40"/>
    </x:row>
    <x:row r="69" ht="15" hidden="0" customHeight="1">
      <x:c r="A69" s="40"/>
      <x:c r="B69" s="40"/>
      <x:c r="C69" s="40"/>
      <x:c r="D69" s="40"/>
      <x:c r="E69" s="40"/>
      <x:c r="F69" s="43"/>
      <x:c r="G69" s="43"/>
      <x:c r="H69" s="43"/>
      <x:c r="I69" s="43"/>
      <x:c r="J69" s="40"/>
      <x:c r="K69" s="40"/>
      <x:c r="L69" s="40"/>
    </x:row>
    <x:row r="70" ht="15" hidden="0" customHeight="1">
      <x:c r="A70" s="40"/>
      <x:c r="B70" s="40"/>
      <x:c r="C70" s="40"/>
      <x:c r="D70" s="40"/>
      <x:c r="E70" s="40"/>
      <x:c r="F70" s="43"/>
      <x:c r="G70" s="43"/>
      <x:c r="H70" s="43"/>
      <x:c r="I70" s="43"/>
      <x:c r="J70" s="40"/>
      <x:c r="K70" s="40"/>
      <x:c r="L70" s="40"/>
    </x:row>
    <x:row r="71" ht="15" hidden="0" customHeight="1">
      <x:c r="A71" s="40"/>
      <x:c r="B71" s="40"/>
      <x:c r="C71" s="40"/>
      <x:c r="D71" s="40"/>
      <x:c r="E71" s="40"/>
      <x:c r="F71" s="43"/>
      <x:c r="G71" s="43"/>
      <x:c r="H71" s="43"/>
      <x:c r="I71" s="43"/>
      <x:c r="J71" s="40"/>
      <x:c r="K71" s="40"/>
      <x:c r="L71" s="40"/>
    </x:row>
    <x:row r="72" ht="15" hidden="0" customHeight="1">
      <x:c r="A72" s="40"/>
      <x:c r="B72" s="40"/>
      <x:c r="C72" s="40"/>
      <x:c r="D72" s="40"/>
      <x:c r="E72" s="40"/>
      <x:c r="F72" s="43"/>
      <x:c r="G72" s="43"/>
      <x:c r="H72" s="43"/>
      <x:c r="I72" s="43"/>
      <x:c r="J72" s="40"/>
      <x:c r="K72" s="40"/>
      <x:c r="L72" s="40"/>
    </x:row>
    <x:row r="73" ht="15" hidden="0" customHeight="1">
      <x:c r="A73" s="40"/>
      <x:c r="B73" s="40"/>
      <x:c r="C73" s="40"/>
      <x:c r="D73" s="40"/>
      <x:c r="E73" s="40"/>
      <x:c r="F73" s="43"/>
      <x:c r="G73" s="43"/>
      <x:c r="H73" s="43"/>
      <x:c r="I73" s="43"/>
      <x:c r="J73" s="40"/>
      <x:c r="K73" s="40"/>
      <x:c r="L73" s="40"/>
    </x:row>
    <x:row r="74" ht="15" hidden="0" customHeight="1">
      <x:c r="A74" s="40"/>
      <x:c r="B74" s="40"/>
      <x:c r="C74" s="40"/>
      <x:c r="D74" s="40"/>
      <x:c r="E74" s="40"/>
      <x:c r="F74" s="43"/>
      <x:c r="G74" s="43"/>
      <x:c r="H74" s="43"/>
      <x:c r="I74" s="43"/>
      <x:c r="J74" s="40"/>
      <x:c r="K74" s="40"/>
      <x:c r="L74" s="40"/>
    </x:row>
    <x:row r="75" ht="15" hidden="0" customHeight="1">
      <x:c r="A75" s="40"/>
      <x:c r="B75" s="40"/>
      <x:c r="C75" s="40"/>
      <x:c r="D75" s="40"/>
      <x:c r="E75" s="40"/>
      <x:c r="F75" s="43"/>
      <x:c r="G75" s="43"/>
      <x:c r="H75" s="43"/>
      <x:c r="I75" s="43"/>
      <x:c r="J75" s="40"/>
      <x:c r="K75" s="40"/>
      <x:c r="L75" s="40"/>
    </x:row>
    <x:row r="76" ht="15" hidden="0" customHeight="1">
      <x:c r="A76" s="40"/>
      <x:c r="B76" s="40"/>
      <x:c r="C76" s="40"/>
      <x:c r="D76" s="40"/>
      <x:c r="E76" s="40"/>
      <x:c r="F76" s="43"/>
      <x:c r="G76" s="43"/>
      <x:c r="H76" s="43"/>
      <x:c r="I76" s="43"/>
      <x:c r="J76" s="40"/>
      <x:c r="K76" s="40"/>
      <x:c r="L76" s="40"/>
    </x:row>
    <x:row r="77" ht="15" hidden="0" customHeight="1">
      <x:c r="A77" s="40"/>
      <x:c r="B77" s="40"/>
      <x:c r="C77" s="40"/>
      <x:c r="D77" s="40"/>
      <x:c r="E77" s="40"/>
      <x:c r="F77" s="43"/>
      <x:c r="G77" s="43"/>
      <x:c r="H77" s="43"/>
      <x:c r="I77" s="43"/>
      <x:c r="J77" s="40"/>
      <x:c r="K77" s="40"/>
      <x:c r="L77" s="40"/>
    </x:row>
    <x:row r="78" ht="15" hidden="0" customHeight="1">
      <x:c r="A78" s="40"/>
      <x:c r="B78" s="40"/>
      <x:c r="C78" s="40"/>
      <x:c r="D78" s="40"/>
      <x:c r="E78" s="40"/>
      <x:c r="F78" s="43"/>
      <x:c r="G78" s="43"/>
      <x:c r="H78" s="43"/>
      <x:c r="I78" s="43"/>
      <x:c r="J78" s="40"/>
      <x:c r="K78" s="40"/>
      <x:c r="L78" s="40"/>
    </x:row>
    <x:row r="79" ht="15" hidden="0" customHeight="1">
      <x:c r="A79" s="40"/>
      <x:c r="B79" s="40"/>
      <x:c r="C79" s="40"/>
      <x:c r="D79" s="40"/>
      <x:c r="E79" s="40"/>
      <x:c r="F79" s="43"/>
      <x:c r="G79" s="43"/>
      <x:c r="H79" s="43"/>
      <x:c r="I79" s="43"/>
      <x:c r="J79" s="40"/>
      <x:c r="K79" s="40"/>
      <x:c r="L79" s="40"/>
    </x:row>
    <x:row r="80" ht="15" hidden="0" customHeight="1">
      <x:c r="A80" s="40"/>
      <x:c r="B80" s="40"/>
      <x:c r="C80" s="40"/>
      <x:c r="D80" s="40"/>
      <x:c r="E80" s="40"/>
      <x:c r="F80" s="43"/>
      <x:c r="G80" s="43"/>
      <x:c r="H80" s="43"/>
      <x:c r="I80" s="43"/>
      <x:c r="J80" s="40"/>
      <x:c r="K80" s="40"/>
      <x:c r="L80" s="40"/>
    </x:row>
    <x:row r="81" ht="15" hidden="0" customHeight="1">
      <x:c r="A81" s="40"/>
      <x:c r="B81" s="40"/>
      <x:c r="C81" s="40"/>
      <x:c r="D81" s="40"/>
      <x:c r="E81" s="40"/>
      <x:c r="F81" s="43"/>
      <x:c r="G81" s="43"/>
      <x:c r="H81" s="43"/>
      <x:c r="I81" s="43"/>
      <x:c r="J81" s="40"/>
      <x:c r="K81" s="40"/>
      <x:c r="L81" s="40"/>
    </x:row>
    <x:row r="82" ht="15" hidden="0" customHeight="1">
      <x:c r="A82" s="40"/>
      <x:c r="B82" s="40"/>
      <x:c r="C82" s="40"/>
      <x:c r="D82" s="40"/>
      <x:c r="E82" s="40"/>
      <x:c r="F82" s="43"/>
      <x:c r="G82" s="43"/>
      <x:c r="H82" s="43"/>
      <x:c r="I82" s="43"/>
      <x:c r="J82" s="40"/>
      <x:c r="K82" s="40"/>
      <x:c r="L82" s="40"/>
    </x:row>
    <x:row r="83" ht="15" hidden="0" customHeight="1">
      <x:c r="A83" s="40"/>
      <x:c r="B83" s="40"/>
      <x:c r="C83" s="40"/>
      <x:c r="D83" s="40"/>
      <x:c r="E83" s="40"/>
      <x:c r="F83" s="43"/>
      <x:c r="G83" s="43"/>
      <x:c r="H83" s="43"/>
      <x:c r="I83" s="43"/>
      <x:c r="J83" s="40"/>
      <x:c r="K83" s="40"/>
      <x:c r="L83" s="40"/>
    </x:row>
    <x:row r="84" ht="15" hidden="0" customHeight="1">
      <x:c r="A84" s="40"/>
      <x:c r="B84" s="40"/>
      <x:c r="C84" s="40"/>
      <x:c r="D84" s="40"/>
      <x:c r="E84" s="40"/>
      <x:c r="F84" s="43"/>
      <x:c r="G84" s="43"/>
      <x:c r="H84" s="43"/>
      <x:c r="I84" s="43"/>
      <x:c r="J84" s="40"/>
      <x:c r="K84" s="40"/>
      <x:c r="L84" s="40"/>
    </x:row>
    <x:row r="85" ht="15" hidden="0" customHeight="1">
      <x:c r="A85" s="40"/>
      <x:c r="B85" s="40"/>
      <x:c r="C85" s="40"/>
      <x:c r="D85" s="40"/>
      <x:c r="E85" s="40"/>
      <x:c r="F85" s="43"/>
      <x:c r="G85" s="43"/>
      <x:c r="H85" s="43"/>
      <x:c r="I85" s="43"/>
      <x:c r="J85" s="40"/>
      <x:c r="K85" s="40"/>
      <x:c r="L85" s="40"/>
    </x:row>
    <x:row r="86" ht="15" hidden="0" customHeight="1">
      <x:c r="A86" s="40"/>
      <x:c r="B86" s="40"/>
      <x:c r="C86" s="40"/>
      <x:c r="D86" s="40"/>
      <x:c r="E86" s="40"/>
      <x:c r="F86" s="43"/>
      <x:c r="G86" s="43"/>
      <x:c r="H86" s="43"/>
      <x:c r="I86" s="43"/>
      <x:c r="J86" s="40"/>
      <x:c r="K86" s="40"/>
      <x:c r="L86" s="40"/>
    </x:row>
    <x:row r="87" ht="15" hidden="0" customHeight="1">
      <x:c r="A87" s="40"/>
      <x:c r="B87" s="40"/>
      <x:c r="C87" s="40"/>
      <x:c r="D87" s="40"/>
      <x:c r="E87" s="40"/>
      <x:c r="F87" s="43"/>
      <x:c r="G87" s="43"/>
      <x:c r="H87" s="43"/>
      <x:c r="I87" s="43"/>
      <x:c r="J87" s="40"/>
      <x:c r="K87" s="40"/>
      <x:c r="L87" s="40"/>
    </x:row>
    <x:row r="88" ht="15" hidden="0" customHeight="1">
      <x:c r="A88" s="40"/>
      <x:c r="B88" s="40"/>
      <x:c r="C88" s="40"/>
      <x:c r="D88" s="40"/>
      <x:c r="E88" s="40"/>
      <x:c r="F88" s="43"/>
      <x:c r="G88" s="43"/>
      <x:c r="H88" s="43"/>
      <x:c r="I88" s="43"/>
      <x:c r="J88" s="40"/>
      <x:c r="K88" s="40"/>
      <x:c r="L88" s="40"/>
    </x:row>
    <x:row r="89" ht="15" hidden="0" customHeight="1">
      <x:c r="A89" s="40"/>
      <x:c r="B89" s="40"/>
      <x:c r="C89" s="40"/>
      <x:c r="D89" s="40"/>
      <x:c r="E89" s="40"/>
      <x:c r="F89" s="43"/>
      <x:c r="G89" s="43"/>
      <x:c r="H89" s="43"/>
      <x:c r="I89" s="43"/>
      <x:c r="J89" s="40"/>
      <x:c r="K89" s="40"/>
      <x:c r="L89" s="40"/>
    </x:row>
    <x:row r="90" ht="15" hidden="0" customHeight="1">
      <x:c r="A90" s="40"/>
      <x:c r="B90" s="40"/>
      <x:c r="C90" s="40"/>
      <x:c r="D90" s="40"/>
      <x:c r="E90" s="40"/>
      <x:c r="F90" s="43"/>
      <x:c r="G90" s="43"/>
      <x:c r="H90" s="43"/>
      <x:c r="I90" s="43"/>
      <x:c r="J90" s="40"/>
      <x:c r="K90" s="40"/>
      <x:c r="L90" s="40"/>
    </x:row>
    <x:row r="91" ht="15" hidden="0" customHeight="1">
      <x:c r="A91" s="40"/>
      <x:c r="B91" s="40"/>
      <x:c r="C91" s="40"/>
      <x:c r="D91" s="40"/>
      <x:c r="E91" s="40"/>
      <x:c r="F91" s="43"/>
      <x:c r="G91" s="43"/>
      <x:c r="H91" s="43"/>
      <x:c r="I91" s="43"/>
      <x:c r="J91" s="40"/>
      <x:c r="K91" s="40"/>
      <x:c r="L91" s="40"/>
    </x:row>
    <x:row r="92" ht="15" hidden="0" customHeight="1">
      <x:c r="A92" s="40"/>
      <x:c r="B92" s="40"/>
      <x:c r="C92" s="40"/>
      <x:c r="D92" s="40"/>
      <x:c r="E92" s="40"/>
      <x:c r="F92" s="43"/>
      <x:c r="G92" s="43"/>
      <x:c r="H92" s="43"/>
      <x:c r="I92" s="43"/>
      <x:c r="J92" s="40"/>
      <x:c r="K92" s="40"/>
      <x:c r="L92" s="40"/>
    </x:row>
    <x:row r="93" ht="15" hidden="0" customHeight="1">
      <x:c r="A93" s="40"/>
      <x:c r="B93" s="40"/>
      <x:c r="C93" s="40"/>
      <x:c r="D93" s="40"/>
      <x:c r="E93" s="40"/>
      <x:c r="F93" s="43"/>
      <x:c r="G93" s="43"/>
      <x:c r="H93" s="43"/>
      <x:c r="I93" s="43"/>
      <x:c r="J93" s="40"/>
      <x:c r="K93" s="40"/>
      <x:c r="L93" s="40"/>
    </x:row>
    <x:row r="94" ht="15" hidden="0" customHeight="1">
      <x:c r="A94" s="40"/>
      <x:c r="B94" s="40"/>
      <x:c r="C94" s="40"/>
      <x:c r="D94" s="40"/>
      <x:c r="E94" s="40"/>
      <x:c r="F94" s="43"/>
      <x:c r="G94" s="43"/>
      <x:c r="H94" s="43"/>
      <x:c r="I94" s="43"/>
      <x:c r="J94" s="40"/>
      <x:c r="K94" s="40"/>
      <x:c r="L94" s="40"/>
    </x:row>
    <x:row r="95" ht="15" hidden="0" customHeight="1">
      <x:c r="A95" s="40"/>
      <x:c r="B95" s="40"/>
      <x:c r="C95" s="40"/>
      <x:c r="D95" s="40"/>
      <x:c r="E95" s="40"/>
      <x:c r="F95" s="43"/>
      <x:c r="G95" s="43"/>
      <x:c r="H95" s="43"/>
      <x:c r="I95" s="43"/>
      <x:c r="J95" s="40"/>
      <x:c r="K95" s="40"/>
      <x:c r="L95" s="40"/>
    </x:row>
    <x:row r="96" ht="15" hidden="0" customHeight="1">
      <x:c r="A96" s="40"/>
      <x:c r="B96" s="40"/>
      <x:c r="C96" s="40"/>
      <x:c r="D96" s="40"/>
      <x:c r="E96" s="40"/>
      <x:c r="F96" s="43"/>
      <x:c r="G96" s="43"/>
      <x:c r="H96" s="43"/>
      <x:c r="I96" s="43"/>
      <x:c r="J96" s="40"/>
      <x:c r="K96" s="40"/>
      <x:c r="L96" s="40"/>
    </x:row>
    <x:row r="97" ht="15" hidden="0" customHeight="1">
      <x:c r="A97" s="40"/>
      <x:c r="B97" s="40"/>
      <x:c r="C97" s="40"/>
      <x:c r="D97" s="40"/>
      <x:c r="E97" s="40"/>
      <x:c r="F97" s="43"/>
      <x:c r="G97" s="43"/>
      <x:c r="H97" s="43"/>
      <x:c r="I97" s="43"/>
      <x:c r="J97" s="40"/>
      <x:c r="K97" s="40"/>
      <x:c r="L97" s="40"/>
    </x:row>
    <x:row r="98" ht="15" hidden="0" customHeight="1">
      <x:c r="A98" s="40"/>
      <x:c r="B98" s="40"/>
      <x:c r="C98" s="40"/>
      <x:c r="D98" s="40"/>
      <x:c r="E98" s="40"/>
      <x:c r="F98" s="43"/>
      <x:c r="G98" s="43"/>
      <x:c r="H98" s="43"/>
      <x:c r="I98" s="43"/>
      <x:c r="J98" s="40"/>
      <x:c r="K98" s="40"/>
      <x:c r="L98" s="40"/>
    </x:row>
    <x:row r="99" ht="15" hidden="0" customHeight="1">
      <x:c r="A99" s="40"/>
      <x:c r="B99" s="40"/>
      <x:c r="C99" s="40"/>
      <x:c r="D99" s="40"/>
      <x:c r="E99" s="40"/>
      <x:c r="F99" s="43"/>
      <x:c r="G99" s="43"/>
      <x:c r="H99" s="43"/>
      <x:c r="I99" s="43"/>
      <x:c r="J99" s="40"/>
      <x:c r="K99" s="40"/>
      <x:c r="L99" s="40"/>
    </x:row>
    <x:row r="100" ht="15" hidden="0" customHeight="1">
      <x:c r="A100" s="40"/>
      <x:c r="B100" s="40"/>
      <x:c r="C100" s="40"/>
      <x:c r="D100" s="40"/>
      <x:c r="E100" s="40"/>
      <x:c r="F100" s="43"/>
      <x:c r="G100" s="43"/>
      <x:c r="H100" s="43"/>
      <x:c r="I100" s="43"/>
      <x:c r="J100" s="40"/>
      <x:c r="K100" s="40"/>
      <x:c r="L100" s="40"/>
    </x:row>
  </x:sheetData>
  <x:pageMargins left="0.7" right="0.7" top="0.75" bottom="0.75" header="0.3" footer="0.3"/>
  <x:tableParts count="1">
    <x:tablePart xmlns:r="http://schemas.openxmlformats.org/officeDocument/2006/relationships" r:id="Rb743833d6cee44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6" max="6" width="45" hidden="0" customWidth="1"/>
  </x:cols>
  <x:sheetData>
    <x:row r="1" ht="36" hidden="0" customHeight="1">
      <x:c r="A1" s="38" t="str">
        <x:v>Ítem</x:v>
      </x:c>
      <x:c r="B1" s="38" t="str">
        <x:v>Archivo original COP</x:v>
      </x:c>
      <x:c r="C1" s="38" t="str">
        <x:v>Archivo cargado COP</x:v>
      </x:c>
      <x:c r="D1" s="38" t="str">
        <x:v>Decisión optimizada COP</x:v>
      </x:c>
      <x:c r="E1" s="38" t="str">
        <x:v>Ahorro vs mayor referencia</x:v>
      </x:c>
      <x:c r="F1" s="38" t="str">
        <x:v>Comentario</x:v>
      </x:c>
      <x:c r="G1" s="40"/>
      <x:c r="H1" s="40"/>
      <x:c r="I1" s="40"/>
      <x:c r="J1" s="40"/>
      <x:c r="K1" s="40"/>
      <x:c r="L1" s="40"/>
    </x:row>
    <x:row r="2" ht="15" hidden="0" customHeight="1">
      <x:c r="A2" s="40" t="str">
        <x:v>Resina / impresión 3D</x:v>
      </x:c>
      <x:c r="B2" s="43" t="n">
        <x:v>110000</x:v>
      </x:c>
      <x:c r="C2" s="43" t="n">
        <x:v>92500</x:v>
      </x:c>
      <x:c r="D2" s="43" t="n">
        <x:v>92500</x:v>
      </x:c>
      <x:c r="E2" s="43" t="n">
        <x:f>MAX(IF(B2="",0,B2),IF(C2="",0,C2))-D2</x:f>
        <x:v>17500</x:v>
      </x:c>
      <x:c r="F2" s="40" t="str">
        <x:v>Usar menor valor cruzado.</x:v>
      </x:c>
      <x:c r="G2" s="40"/>
      <x:c r="H2" s="40"/>
      <x:c r="I2" s="40"/>
      <x:c r="J2" s="40"/>
      <x:c r="K2" s="40"/>
      <x:c r="L2" s="40"/>
    </x:row>
    <x:row r="3" ht="15" hidden="0" customHeight="1">
      <x:c r="A3" s="40" t="str">
        <x:v>Epoxi/fibra superficial</x:v>
      </x:c>
      <x:c r="B3" s="43" t="n">
        <x:v>110000</x:v>
      </x:c>
      <x:c r="C3" s="43"/>
      <x:c r="D3" s="43" t="n">
        <x:v>65000</x:v>
      </x:c>
      <x:c r="E3" s="43" t="n">
        <x:f>MAX(IF(B3="",0,B3),IF(C3="",0,C3))-D3</x:f>
        <x:v>45000</x:v>
      </x:c>
      <x:c r="F3" s="40" t="str">
        <x:v>Agregar recubrimiento, pero con kit pequeño optimizado.</x:v>
      </x:c>
      <x:c r="G3" s="40"/>
      <x:c r="H3" s="40"/>
      <x:c r="I3" s="40"/>
      <x:c r="J3" s="40"/>
      <x:c r="K3" s="40"/>
      <x:c r="L3" s="40"/>
    </x:row>
    <x:row r="4" ht="15" hidden="0" customHeight="1">
      <x:c r="A4" s="40" t="str">
        <x:v>Ventosas fuelle x4</x:v>
      </x:c>
      <x:c r="B4" s="43" t="n">
        <x:v>160000</x:v>
      </x:c>
      <x:c r="C4" s="43" t="n">
        <x:v>110000</x:v>
      </x:c>
      <x:c r="D4" s="43" t="n">
        <x:v>110000</x:v>
      </x:c>
      <x:c r="E4" s="43" t="n">
        <x:f>MAX(IF(B4="",0,B4),IF(C4="",0,C4))-D4</x:f>
        <x:v>50000</x:v>
      </x:c>
      <x:c r="F4" s="40" t="str">
        <x:v>Negociar precio unitario objetivo de $27.500.</x:v>
      </x:c>
      <x:c r="G4" s="40"/>
      <x:c r="H4" s="40"/>
      <x:c r="I4" s="40"/>
      <x:c r="J4" s="40"/>
      <x:c r="K4" s="40"/>
      <x:c r="L4" s="40"/>
    </x:row>
    <x:row r="5" ht="15" hidden="0" customHeight="1">
      <x:c r="A5" s="40" t="str">
        <x:v>Tornillería</x:v>
      </x:c>
      <x:c r="B5" s="43" t="n">
        <x:v>6940</x:v>
      </x:c>
      <x:c r="C5" s="43" t="n">
        <x:v>5200</x:v>
      </x:c>
      <x:c r="D5" s="43" t="n">
        <x:v>5200</x:v>
      </x:c>
      <x:c r="E5" s="43" t="n">
        <x:f>MAX(IF(B5="",0,B5),IF(C5="",0,C5))-D5</x:f>
        <x:v>1740</x:v>
      </x:c>
      <x:c r="F5" s="40" t="str">
        <x:v>Mundial de Tornillos / equivalente.</x:v>
      </x:c>
      <x:c r="G5" s="40"/>
      <x:c r="H5" s="40"/>
      <x:c r="I5" s="40"/>
      <x:c r="J5" s="40"/>
      <x:c r="K5" s="40"/>
      <x:c r="L5" s="40"/>
    </x:row>
    <x:row r="6" ht="15" hidden="0" customHeight="1">
      <x:c r="A6" s="40" t="str">
        <x:v>Eyector Venturi</x:v>
      </x:c>
      <x:c r="B6" s="43" t="n">
        <x:v>145000</x:v>
      </x:c>
      <x:c r="C6" s="43" t="n">
        <x:v>325000</x:v>
      </x:c>
      <x:c r="D6" s="43" t="n">
        <x:v>145000</x:v>
      </x:c>
      <x:c r="E6" s="43" t="n">
        <x:f>MAX(IF(B6="",0,B6),IF(C6="",0,C6))-D6</x:f>
        <x:v>180000</x:v>
      </x:c>
      <x:c r="F6" s="40" t="str">
        <x:v>Mayor ahorro: mantener cotización de $145.000.</x:v>
      </x:c>
      <x:c r="G6" s="40"/>
      <x:c r="H6" s="40"/>
      <x:c r="I6" s="40"/>
      <x:c r="J6" s="40"/>
      <x:c r="K6" s="40"/>
      <x:c r="L6" s="40"/>
    </x:row>
    <x:row r="7" ht="15" hidden="0" customHeight="1">
      <x:c r="A7" s="40" t="str">
        <x:v>Racor</x:v>
      </x:c>
      <x:c r="B7" s="43" t="n">
        <x:v>10000</x:v>
      </x:c>
      <x:c r="C7" s="43" t="n">
        <x:v>70000</x:v>
      </x:c>
      <x:c r="D7" s="43" t="n">
        <x:v>10000</x:v>
      </x:c>
      <x:c r="E7" s="43" t="n">
        <x:f>MAX(IF(B7="",0,B7),IF(C7="",0,C7))-D7</x:f>
        <x:v>60000</x:v>
      </x:c>
      <x:c r="F7" s="40" t="str">
        <x:v>Validar si el valor cubre número real de racores.</x:v>
      </x:c>
      <x:c r="G7" s="40"/>
      <x:c r="H7" s="40"/>
      <x:c r="I7" s="40"/>
      <x:c r="J7" s="40"/>
      <x:c r="K7" s="40"/>
      <x:c r="L7" s="40"/>
    </x:row>
    <x:row r="8" ht="15" hidden="0" customHeight="1">
      <x:c r="A8" s="40" t="str">
        <x:v>Electrónica/controlador/sensores</x:v>
      </x:c>
      <x:c r="B8" s="43"/>
      <x:c r="C8" s="43" t="n">
        <x:v>164000</x:v>
      </x:c>
      <x:c r="D8" s="43" t="n">
        <x:v>0</x:v>
      </x:c>
      <x:c r="E8" s="43" t="n">
        <x:f>MAX(IF(B8="",0,B8),IF(C8="",0,C8))-D8</x:f>
        <x:v>164000</x:v>
      </x:c>
      <x:c r="F8" s="40" t="str">
        <x:v>El usuario pidió ignorarlos.</x:v>
      </x:c>
      <x:c r="G8" s="40"/>
      <x:c r="H8" s="40"/>
      <x:c r="I8" s="40"/>
      <x:c r="J8" s="40"/>
      <x:c r="K8" s="40"/>
      <x:c r="L8" s="40"/>
    </x:row>
    <x:row r="9" ht="15" hidden="0" customHeight="1">
      <x:c r="A9" s="40" t="str">
        <x:v>Diseño / planos</x:v>
      </x:c>
      <x:c r="B9" s="43" t="n">
        <x:v>350000</x:v>
      </x:c>
      <x:c r="C9" s="43" t="n">
        <x:v>360000</x:v>
      </x:c>
      <x:c r="D9" s="43" t="n">
        <x:v>250000</x:v>
      </x:c>
      <x:c r="E9" s="43" t="n">
        <x:f>MAX(IF(B9="",0,B9),IF(C9="",0,C9))-D9</x:f>
        <x:v>110000</x:v>
      </x:c>
      <x:c r="F9" s="40" t="str">
        <x:v>Paquete básico de planos + memoria corta.</x:v>
      </x:c>
      <x:c r="G9" s="40"/>
      <x:c r="H9" s="40"/>
      <x:c r="I9" s="40"/>
      <x:c r="J9" s="40"/>
      <x:c r="K9" s="40"/>
      <x:c r="L9" s="40"/>
    </x:row>
    <x:row r="10" ht="15" hidden="0" customHeight="1">
      <x:c r="A10" s="40" t="str">
        <x:v>Fabricación / ensamble</x:v>
      </x:c>
      <x:c r="B10" s="43" t="n">
        <x:v>250000</x:v>
      </x:c>
      <x:c r="C10" s="43" t="n">
        <x:v>225000</x:v>
      </x:c>
      <x:c r="D10" s="43" t="n">
        <x:v>220000</x:v>
      </x:c>
      <x:c r="E10" s="43" t="n">
        <x:f>MAX(IF(B10="",0,B10),IF(C10="",0,C10))-D10</x:f>
        <x:v>30000</x:v>
      </x:c>
      <x:c r="F10" s="40" t="str">
        <x:v>Optimización por paquete único.</x:v>
      </x:c>
      <x:c r="G10" s="40"/>
      <x:c r="H10" s="40"/>
      <x:c r="I10" s="40"/>
      <x:c r="J10" s="40"/>
      <x:c r="K10" s="40"/>
      <x:c r="L10" s="40"/>
    </x:row>
    <x:row r="11" ht="15" hidden="0" customHeight="1">
      <x:c r="A11" s="40"/>
      <x:c r="B11" s="43"/>
      <x:c r="C11" s="43"/>
      <x:c r="D11" s="43"/>
      <x:c r="E11" s="43"/>
      <x:c r="F11" s="40"/>
      <x:c r="G11" s="40"/>
      <x:c r="H11" s="40"/>
      <x:c r="I11" s="40"/>
      <x:c r="J11" s="40"/>
      <x:c r="K11" s="40"/>
      <x:c r="L11" s="40"/>
    </x:row>
    <x:row r="12" ht="15" hidden="0" customHeight="1">
      <x:c r="A12" s="40"/>
      <x:c r="B12" s="43"/>
      <x:c r="C12" s="43"/>
      <x:c r="D12" s="43"/>
      <x:c r="E12" s="43"/>
      <x:c r="F12" s="40"/>
      <x:c r="G12" s="40"/>
      <x:c r="H12" s="40"/>
      <x:c r="I12" s="40"/>
      <x:c r="J12" s="40"/>
      <x:c r="K12" s="40"/>
      <x:c r="L12" s="40"/>
    </x:row>
    <x:row r="13" ht="15" hidden="0" customHeight="1">
      <x:c r="A13" s="40"/>
      <x:c r="B13" s="43"/>
      <x:c r="C13" s="43"/>
      <x:c r="D13" s="43"/>
      <x:c r="E13" s="43"/>
      <x:c r="F13" s="40"/>
      <x:c r="G13" s="40"/>
      <x:c r="H13" s="40"/>
      <x:c r="I13" s="40"/>
      <x:c r="J13" s="40"/>
      <x:c r="K13" s="40"/>
      <x:c r="L13" s="40"/>
    </x:row>
    <x:row r="14" ht="15" hidden="0" customHeight="1">
      <x:c r="A14" s="40"/>
      <x:c r="B14" s="43"/>
      <x:c r="C14" s="43"/>
      <x:c r="D14" s="43"/>
      <x:c r="E14" s="43"/>
      <x:c r="F14" s="40"/>
      <x:c r="G14" s="40"/>
      <x:c r="H14" s="40"/>
      <x:c r="I14" s="40"/>
      <x:c r="J14" s="40"/>
      <x:c r="K14" s="40"/>
      <x:c r="L14" s="40"/>
    </x:row>
    <x:row r="15" ht="15" hidden="0" customHeight="1">
      <x:c r="A15" s="40"/>
      <x:c r="B15" s="43"/>
      <x:c r="C15" s="43"/>
      <x:c r="D15" s="43"/>
      <x:c r="E15" s="43"/>
      <x:c r="F15" s="40"/>
      <x:c r="G15" s="40"/>
      <x:c r="H15" s="40"/>
      <x:c r="I15" s="40"/>
      <x:c r="J15" s="40"/>
      <x:c r="K15" s="40"/>
      <x:c r="L15" s="40"/>
    </x:row>
    <x:row r="16" ht="15" hidden="0" customHeight="1">
      <x:c r="A16" s="40"/>
      <x:c r="B16" s="43"/>
      <x:c r="C16" s="43"/>
      <x:c r="D16" s="43"/>
      <x:c r="E16" s="43"/>
      <x:c r="F16" s="40"/>
      <x:c r="G16" s="40"/>
      <x:c r="H16" s="40"/>
      <x:c r="I16" s="40"/>
      <x:c r="J16" s="40"/>
      <x:c r="K16" s="40"/>
      <x:c r="L16" s="40"/>
    </x:row>
    <x:row r="17" ht="15" hidden="0" customHeight="1">
      <x:c r="A17" s="40"/>
      <x:c r="B17" s="43"/>
      <x:c r="C17" s="43"/>
      <x:c r="D17" s="43"/>
      <x:c r="E17" s="43"/>
      <x:c r="F17" s="40"/>
      <x:c r="G17" s="40"/>
      <x:c r="H17" s="40"/>
      <x:c r="I17" s="40"/>
      <x:c r="J17" s="40"/>
      <x:c r="K17" s="40"/>
      <x:c r="L17" s="40"/>
    </x:row>
    <x:row r="18" ht="15" hidden="0" customHeight="1">
      <x:c r="A18" s="40"/>
      <x:c r="B18" s="43"/>
      <x:c r="C18" s="43"/>
      <x:c r="D18" s="43"/>
      <x:c r="E18" s="43"/>
      <x:c r="F18" s="40"/>
      <x:c r="G18" s="40"/>
      <x:c r="H18" s="40"/>
      <x:c r="I18" s="40"/>
      <x:c r="J18" s="40"/>
      <x:c r="K18" s="40"/>
      <x:c r="L18" s="40"/>
    </x:row>
    <x:row r="19" ht="15" hidden="0" customHeight="1">
      <x:c r="A19" s="40"/>
      <x:c r="B19" s="43"/>
      <x:c r="C19" s="43"/>
      <x:c r="D19" s="43"/>
      <x:c r="E19" s="43"/>
      <x:c r="F19" s="40"/>
      <x:c r="G19" s="40"/>
      <x:c r="H19" s="40"/>
      <x:c r="I19" s="40"/>
      <x:c r="J19" s="40"/>
      <x:c r="K19" s="40"/>
      <x:c r="L19" s="40"/>
    </x:row>
    <x:row r="20" ht="15" hidden="0" customHeight="1">
      <x:c r="A20" s="40"/>
      <x:c r="B20" s="43"/>
      <x:c r="C20" s="43"/>
      <x:c r="D20" s="43"/>
      <x:c r="E20" s="43"/>
      <x:c r="F20" s="40"/>
      <x:c r="G20" s="40"/>
      <x:c r="H20" s="40"/>
      <x:c r="I20" s="40"/>
      <x:c r="J20" s="40"/>
      <x:c r="K20" s="40"/>
      <x:c r="L20" s="40"/>
    </x:row>
    <x:row r="21" ht="15" hidden="0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 ht="15" hidden="0" customHeight="1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 ht="15" hidden="0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 ht="15" hidden="0" customHeight="1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 ht="15" hidden="0" customHeight="1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 ht="15" hidden="0" customHeight="1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 ht="15" hidden="0" customHeight="1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 ht="15" hidden="0" customHeight="1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 ht="15" hidden="0" customHeight="1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 ht="15" hidden="0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 ht="15" hidden="0" customHeight="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 ht="15" hidden="0" customHeight="1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 ht="15" hidden="0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 ht="15" hidden="0" customHeight="1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 ht="15" hidden="0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 ht="15" hidden="0" customHeight="1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 ht="15" hidden="0" customHeight="1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 ht="15" hidden="0" customHeight="1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 ht="15" hidden="0" customHeight="1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 ht="15" hidden="0" customHeight="1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 ht="15" hidden="0" customHeight="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 ht="15" hidden="0" customHeight="1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 ht="15" hidden="0" customHeight="1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 ht="15" hidden="0" customHeight="1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 ht="15" hidden="0" customHeight="1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 ht="15" hidden="0" customHeight="1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 ht="15" hidden="0" customHeight="1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 ht="15" hidden="0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 ht="15" hidden="0" customHeight="1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 ht="15" hidden="0" customHeight="1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 ht="15" hidden="0" customHeight="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 ht="15" hidden="0" customHeight="1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 ht="15" hidden="0" customHeight="1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 ht="15" hidden="0" customHeight="1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 ht="15" hidden="0" customHeight="1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 ht="15" hidden="0" customHeight="1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 ht="15" hidden="0" customHeight="1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 ht="15" hidden="0" customHeight="1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 ht="15" hidden="0" customHeight="1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 ht="15" hidden="0" customHeight="1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 ht="15" hidden="0" customHeight="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 ht="15" hidden="0" customHeight="1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 ht="15" hidden="0" customHeight="1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 ht="15" hidden="0" customHeight="1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 ht="15" hidden="0" customHeight="1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 ht="15" hidden="0" customHeight="1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 ht="15" hidden="0" customHeight="1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 ht="15" hidden="0" customHeight="1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 ht="15" hidden="0" customHeight="1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 ht="15" hidden="0" customHeight="1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 ht="15" hidden="0" customHeight="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 ht="15" hidden="0" customHeight="1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 ht="15" hidden="0" customHeight="1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 ht="15" hidden="0" customHeight="1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 ht="15" hidden="0" customHeight="1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 ht="15" hidden="0" customHeight="1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 ht="15" hidden="0" customHeight="1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 ht="15" hidden="0" customHeight="1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 ht="15" hidden="0" customHeight="1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 ht="15" hidden="0" customHeight="1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 ht="15" hidden="0" customHeight="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 ht="15" hidden="0" customHeight="1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 ht="15" hidden="0" customHeight="1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 ht="15" hidden="0" customHeight="1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 ht="15" hidden="0" customHeight="1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 ht="15" hidden="0" customHeight="1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 ht="15" hidden="0" customHeight="1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 ht="15" hidden="0" customHeight="1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 ht="15" hidden="0" customHeight="1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 ht="15" hidden="0" customHeight="1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 ht="15" hidden="0" customHeight="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 ht="15" hidden="0" customHeight="1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 ht="15" hidden="0" customHeight="1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 ht="15" hidden="0" customHeight="1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 ht="15" hidden="0" customHeight="1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 ht="15" hidden="0" customHeight="1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 ht="15" hidden="0" customHeight="1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 ht="15" hidden="0" customHeight="1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 ht="15" hidden="0" customHeight="1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 ht="15" hidden="0" customHeight="1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</x:sheetData>
  <x:pageMargins left="0.7" right="0.7" top="0.75" bottom="0.75" header="0.3" footer="0.3"/>
  <x:tableParts count="1">
    <x:tablePart xmlns:r="http://schemas.openxmlformats.org/officeDocument/2006/relationships" r:id="Ra9ac44e7d5a241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30" hidden="0" customWidth="1"/>
    <x:col min="4" max="4" width="18" hidden="0" customWidth="1"/>
    <x:col min="5" max="5" width="18" hidden="0" customWidth="1"/>
  </x:cols>
  <x:sheetData>
    <x:row r="1" ht="15" hidden="0" customHeight="1">
      <x:c r="A1" s="38" t="str">
        <x:v>Escenario</x:v>
      </x:c>
      <x:c r="B1" s="38" t="str">
        <x:v>Descripción</x:v>
      </x:c>
      <x:c r="C1" s="38" t="str">
        <x:v>Fórmula / criterio</x:v>
      </x:c>
      <x:c r="D1" s="38" t="str">
        <x:v>Costo total COP</x:v>
      </x:c>
      <x:c r="E1" s="38" t="str">
        <x:v>Viabilidad</x:v>
      </x:c>
      <x:c r="F1" s="40"/>
      <x:c r="G1" s="40"/>
      <x:c r="H1" s="40"/>
      <x:c r="I1" s="40"/>
      <x:c r="J1" s="40"/>
      <x:c r="K1" s="40"/>
      <x:c r="L1" s="40"/>
    </x:row>
    <x:row r="2" ht="15" hidden="0" customHeight="1">
      <x:c r="A2" s="40" t="str">
        <x:v>Base optimizado sin aire</x:v>
      </x:c>
      <x:c r="B2" s="40" t="str">
        <x:v>Solo componentes + recubrimiento + tubería; no incluye ingeniería/fabricación ni compresor.</x:v>
      </x:c>
      <x:c r="C2" s="40" t="str">
        <x:v>Base</x:v>
      </x:c>
      <x:c r="D2" s="43" t="n">
        <x:f>SUMIFS('Costos Optimizados'!I2:I16,'Costos Optimizados'!J2:J16,"Base")</x:f>
        <x:v>474700</x:v>
      </x:c>
      <x:c r="E2" s="40" t="str">
        <x:v>Alta</x:v>
      </x:c>
      <x:c r="F2" s="40"/>
      <x:c r="G2" s="40"/>
      <x:c r="H2" s="40"/>
      <x:c r="I2" s="40"/>
      <x:c r="J2" s="40"/>
      <x:c r="K2" s="40"/>
      <x:c r="L2" s="40"/>
    </x:row>
    <x:row r="3" ht="15" hidden="0" customHeight="1">
      <x:c r="A3" s="40" t="str">
        <x:v>Prototipo completo con línea existente</x:v>
      </x:c>
      <x:c r="B3" s="40" t="str">
        <x:v>Base + ingeniería + fabricación + adecuación de línea + contingencia.</x:v>
      </x:c>
      <x:c r="C3" s="40" t="str">
        <x:v>Recomendado</x:v>
      </x:c>
      <x:c r="D3" s="43" t="n">
        <x:f>D2+SUMIFS('Costos Optimizados'!I2:I16,'Costos Optimizados'!J2:J16,"Ingeniería")+SUMIFS('Costos Optimizados'!I2:I16,'Costos Optimizados'!J2:J16,"Fabricación")+SUMIFS('Costos Optimizados'!I2:I16,'Costos Optimizados'!J2:J16,"Opcional A",'Costos Optimizados'!B2:B16,"Adecuación básica de línea de aire")+SUMIFS('Costos Optimizados'!I2:I16,'Costos Optimizados'!J2:J16,"Reserva")</x:f>
        <x:v>1203170</x:v>
      </x:c>
      <x:c r="E3" s="40" t="str">
        <x:v>Muy alta</x:v>
      </x:c>
      <x:c r="F3" s="40"/>
      <x:c r="G3" s="40"/>
      <x:c r="H3" s="40"/>
      <x:c r="I3" s="40"/>
      <x:c r="J3" s="40"/>
      <x:c r="K3" s="40"/>
      <x:c r="L3" s="40"/>
    </x:row>
    <x:row r="4" ht="15" hidden="0" customHeight="1">
      <x:c r="A4" s="40" t="str">
        <x:v>Prototipo completo sin adecuación línea</x:v>
      </x:c>
      <x:c r="B4" s="40" t="str">
        <x:v>Base + ingeniería + fabricación + contingencia, usando línea lista.</x:v>
      </x:c>
      <x:c r="C4" s="40" t="str">
        <x:v>Más económico realista</x:v>
      </x:c>
      <x:c r="D4" s="43" t="n">
        <x:f>D2+SUMIFS('Costos Optimizados'!I2:I16,'Costos Optimizados'!J2:J16,"Ingeniería")+SUMIFS('Costos Optimizados'!I2:I16,'Costos Optimizados'!J2:J16,"Fabricación")+SUMIFS('Costos Optimizados'!I2:I16,'Costos Optimizados'!J2:J16,"Reserva")</x:f>
        <x:v>1113170</x:v>
      </x:c>
      <x:c r="E4" s="40" t="str">
        <x:v>Muy alta</x:v>
      </x:c>
      <x:c r="F4" s="40"/>
      <x:c r="G4" s="40"/>
      <x:c r="H4" s="40"/>
      <x:c r="I4" s="40"/>
      <x:c r="J4" s="40"/>
      <x:c r="K4" s="40"/>
      <x:c r="L4" s="40"/>
    </x:row>
    <x:row r="5" ht="15" hidden="0" customHeight="1">
      <x:c r="A5" s="40" t="str">
        <x:v>Prototipo autónomo con compresor</x:v>
      </x:c>
      <x:c r="B5" s="40" t="str">
        <x:v>Base + ingeniería + fabricación + compresor + contingencia.</x:v>
      </x:c>
      <x:c r="C5" s="40" t="str">
        <x:v>Solo si no hay aire</x:v>
      </x:c>
      <x:c r="D5" s="43" t="n">
        <x:f>D2+SUMIFS('Costos Optimizados'!I2:I16,'Costos Optimizados'!J2:J16,"Ingeniería")+SUMIFS('Costos Optimizados'!I2:I16,'Costos Optimizados'!J2:J16,"Fabricación")+SUMIFS('Costos Optimizados'!I2:I16,'Costos Optimizados'!J2:J16,"Opcional B")+SUMIFS('Costos Optimizados'!I2:I16,'Costos Optimizados'!J2:J16,"Reserva")</x:f>
        <x:v>1763170</x:v>
      </x:c>
      <x:c r="E5" s="40" t="str">
        <x:v>Media-alta</x:v>
      </x:c>
      <x:c r="F5" s="40"/>
      <x:c r="G5" s="40"/>
      <x:c r="H5" s="40"/>
      <x:c r="I5" s="40"/>
      <x:c r="J5" s="40"/>
      <x:c r="K5" s="40"/>
      <x:c r="L5" s="40"/>
    </x:row>
    <x:row r="6" ht="15" hidden="0" customHeight="1">
      <x:c r="A6" s="40" t="str">
        <x:v>Costo industrial comparativo cargado</x:v>
      </x:c>
      <x:c r="B6" s="40" t="str">
        <x:v>Referencia de archivo cargado con electrónica/sensores/controlador incluidos.</x:v>
      </x:c>
      <x:c r="C6" s="40" t="str">
        <x:v>No recomendado para esta versión</x:v>
      </x:c>
      <x:c r="D6" s="43" t="n">
        <x:v>1701700</x:v>
      </x:c>
      <x:c r="E6" s="40" t="str">
        <x:v>Menor, por sobrecosto no requerido</x:v>
      </x:c>
      <x:c r="F6" s="40"/>
      <x:c r="G6" s="40"/>
      <x:c r="H6" s="40"/>
      <x:c r="I6" s="40"/>
      <x:c r="J6" s="40"/>
      <x:c r="K6" s="40"/>
      <x:c r="L6" s="40"/>
    </x:row>
    <x:row r="7" ht="15" hidden="0" customHeight="1">
      <x:c r="A7" s="40"/>
      <x:c r="B7" s="40"/>
      <x:c r="C7" s="40"/>
      <x:c r="D7" s="43"/>
      <x:c r="E7" s="40"/>
      <x:c r="F7" s="40"/>
      <x:c r="G7" s="40"/>
      <x:c r="H7" s="40"/>
      <x:c r="I7" s="40"/>
      <x:c r="J7" s="40"/>
      <x:c r="K7" s="40"/>
      <x:c r="L7" s="40"/>
    </x:row>
    <x:row r="8" ht="15" hidden="0" customHeight="1">
      <x:c r="A8" s="40"/>
      <x:c r="B8" s="40"/>
      <x:c r="C8" s="40"/>
      <x:c r="D8" s="43"/>
      <x:c r="E8" s="40"/>
      <x:c r="F8" s="40"/>
      <x:c r="G8" s="40"/>
      <x:c r="H8" s="40"/>
      <x:c r="I8" s="40"/>
      <x:c r="J8" s="40"/>
      <x:c r="K8" s="40"/>
      <x:c r="L8" s="40"/>
    </x:row>
    <x:row r="9" ht="15" hidden="0" customHeight="1">
      <x:c r="A9" s="40"/>
      <x:c r="B9" s="40"/>
      <x:c r="C9" s="40"/>
      <x:c r="D9" s="43"/>
      <x:c r="E9" s="40"/>
      <x:c r="F9" s="40"/>
      <x:c r="G9" s="40"/>
      <x:c r="H9" s="40"/>
      <x:c r="I9" s="40"/>
      <x:c r="J9" s="40"/>
      <x:c r="K9" s="40"/>
      <x:c r="L9" s="40"/>
    </x:row>
    <x:row r="10" ht="15" hidden="0" customHeight="1">
      <x:c r="A10" s="40"/>
      <x:c r="B10" s="40"/>
      <x:c r="C10" s="40"/>
      <x:c r="D10" s="43"/>
      <x:c r="E10" s="40"/>
      <x:c r="F10" s="40"/>
      <x:c r="G10" s="40"/>
      <x:c r="H10" s="40"/>
      <x:c r="I10" s="40"/>
      <x:c r="J10" s="40"/>
      <x:c r="K10" s="40"/>
      <x:c r="L10" s="40"/>
    </x:row>
    <x:row r="11" ht="15" hidden="0" customHeight="1">
      <x:c r="A11" s="40"/>
      <x:c r="B11" s="40"/>
      <x:c r="C11" s="40"/>
      <x:c r="D11" s="43"/>
      <x:c r="E11" s="40"/>
      <x:c r="F11" s="40"/>
      <x:c r="G11" s="40"/>
      <x:c r="H11" s="40"/>
      <x:c r="I11" s="40"/>
      <x:c r="J11" s="40"/>
      <x:c r="K11" s="40"/>
      <x:c r="L11" s="40"/>
    </x:row>
    <x:row r="12" ht="15" hidden="0" customHeight="1">
      <x:c r="A12" s="40"/>
      <x:c r="B12" s="40"/>
      <x:c r="C12" s="40"/>
      <x:c r="D12" s="43"/>
      <x:c r="E12" s="40"/>
      <x:c r="F12" s="40"/>
      <x:c r="G12" s="40"/>
      <x:c r="H12" s="40"/>
      <x:c r="I12" s="40"/>
      <x:c r="J12" s="40"/>
      <x:c r="K12" s="40"/>
      <x:c r="L12" s="40"/>
    </x:row>
    <x:row r="13" ht="15" hidden="0" customHeight="1">
      <x:c r="A13" s="40"/>
      <x:c r="B13" s="40"/>
      <x:c r="C13" s="40"/>
      <x:c r="D13" s="43"/>
      <x:c r="E13" s="40"/>
      <x:c r="F13" s="40"/>
      <x:c r="G13" s="40"/>
      <x:c r="H13" s="40"/>
      <x:c r="I13" s="40"/>
      <x:c r="J13" s="40"/>
      <x:c r="K13" s="40"/>
      <x:c r="L13" s="40"/>
    </x:row>
    <x:row r="14" ht="15" hidden="0" customHeight="1">
      <x:c r="A14" s="40"/>
      <x:c r="B14" s="40"/>
      <x:c r="C14" s="40"/>
      <x:c r="D14" s="43"/>
      <x:c r="E14" s="40"/>
      <x:c r="F14" s="40"/>
      <x:c r="G14" s="40"/>
      <x:c r="H14" s="40"/>
      <x:c r="I14" s="40"/>
      <x:c r="J14" s="40"/>
      <x:c r="K14" s="40"/>
      <x:c r="L14" s="40"/>
    </x:row>
    <x:row r="15" ht="15" hidden="0" customHeight="1">
      <x:c r="A15" s="40"/>
      <x:c r="B15" s="40"/>
      <x:c r="C15" s="40"/>
      <x:c r="D15" s="43"/>
      <x:c r="E15" s="40"/>
      <x:c r="F15" s="40"/>
      <x:c r="G15" s="40"/>
      <x:c r="H15" s="40"/>
      <x:c r="I15" s="40"/>
      <x:c r="J15" s="40"/>
      <x:c r="K15" s="40"/>
      <x:c r="L15" s="40"/>
    </x:row>
    <x:row r="16" ht="15" hidden="0" customHeight="1">
      <x:c r="A16" s="40"/>
      <x:c r="B16" s="40"/>
      <x:c r="C16" s="40"/>
      <x:c r="D16" s="43"/>
      <x:c r="E16" s="40"/>
      <x:c r="F16" s="40"/>
      <x:c r="G16" s="40"/>
      <x:c r="H16" s="40"/>
      <x:c r="I16" s="40"/>
      <x:c r="J16" s="40"/>
      <x:c r="K16" s="40"/>
      <x:c r="L16" s="40"/>
    </x:row>
    <x:row r="17" ht="15" hidden="0" customHeight="1">
      <x:c r="A17" s="40"/>
      <x:c r="B17" s="40"/>
      <x:c r="C17" s="40"/>
      <x:c r="D17" s="43"/>
      <x:c r="E17" s="40"/>
      <x:c r="F17" s="40"/>
      <x:c r="G17" s="40"/>
      <x:c r="H17" s="40"/>
      <x:c r="I17" s="40"/>
      <x:c r="J17" s="40"/>
      <x:c r="K17" s="40"/>
      <x:c r="L17" s="40"/>
    </x:row>
    <x:row r="18" ht="15" hidden="0" customHeight="1">
      <x:c r="A18" s="40"/>
      <x:c r="B18" s="40"/>
      <x:c r="C18" s="40"/>
      <x:c r="D18" s="43"/>
      <x:c r="E18" s="40"/>
      <x:c r="F18" s="40"/>
      <x:c r="G18" s="40"/>
      <x:c r="H18" s="40"/>
      <x:c r="I18" s="40"/>
      <x:c r="J18" s="40"/>
      <x:c r="K18" s="40"/>
      <x:c r="L18" s="40"/>
    </x:row>
    <x:row r="19" ht="15" hidden="0" customHeight="1">
      <x:c r="A19" s="40"/>
      <x:c r="B19" s="40"/>
      <x:c r="C19" s="40"/>
      <x:c r="D19" s="43"/>
      <x:c r="E19" s="40"/>
      <x:c r="F19" s="40"/>
      <x:c r="G19" s="40"/>
      <x:c r="H19" s="40"/>
      <x:c r="I19" s="40"/>
      <x:c r="J19" s="40"/>
      <x:c r="K19" s="40"/>
      <x:c r="L19" s="40"/>
    </x:row>
    <x:row r="20" ht="15" hidden="0" customHeight="1">
      <x:c r="A20" s="40"/>
      <x:c r="B20" s="40"/>
      <x:c r="C20" s="40"/>
      <x:c r="D20" s="43"/>
      <x:c r="E20" s="40"/>
      <x:c r="F20" s="40"/>
      <x:c r="G20" s="40"/>
      <x:c r="H20" s="40"/>
      <x:c r="I20" s="40"/>
      <x:c r="J20" s="40"/>
      <x:c r="K20" s="40"/>
      <x:c r="L20" s="40"/>
    </x:row>
    <x:row r="21" ht="15" hidden="0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 ht="15" hidden="0" customHeight="1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 ht="15" hidden="0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 ht="15" hidden="0" customHeight="1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 ht="15" hidden="0" customHeight="1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 ht="15" hidden="0" customHeight="1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 ht="15" hidden="0" customHeight="1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 ht="15" hidden="0" customHeight="1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 ht="15" hidden="0" customHeight="1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 ht="15" hidden="0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 ht="15" hidden="0" customHeight="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 ht="15" hidden="0" customHeight="1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 ht="15" hidden="0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 ht="15" hidden="0" customHeight="1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 ht="15" hidden="0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 ht="15" hidden="0" customHeight="1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 ht="15" hidden="0" customHeight="1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 ht="15" hidden="0" customHeight="1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 ht="15" hidden="0" customHeight="1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 ht="15" hidden="0" customHeight="1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 ht="15" hidden="0" customHeight="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 ht="15" hidden="0" customHeight="1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 ht="15" hidden="0" customHeight="1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 ht="15" hidden="0" customHeight="1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 ht="15" hidden="0" customHeight="1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 ht="15" hidden="0" customHeight="1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 ht="15" hidden="0" customHeight="1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 ht="15" hidden="0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 ht="15" hidden="0" customHeight="1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 ht="15" hidden="0" customHeight="1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 ht="15" hidden="0" customHeight="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 ht="15" hidden="0" customHeight="1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 ht="15" hidden="0" customHeight="1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 ht="15" hidden="0" customHeight="1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 ht="15" hidden="0" customHeight="1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 ht="15" hidden="0" customHeight="1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 ht="15" hidden="0" customHeight="1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 ht="15" hidden="0" customHeight="1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 ht="15" hidden="0" customHeight="1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 ht="15" hidden="0" customHeight="1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 ht="15" hidden="0" customHeight="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 ht="15" hidden="0" customHeight="1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 ht="15" hidden="0" customHeight="1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 ht="15" hidden="0" customHeight="1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 ht="15" hidden="0" customHeight="1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 ht="15" hidden="0" customHeight="1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 ht="15" hidden="0" customHeight="1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 ht="15" hidden="0" customHeight="1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 ht="15" hidden="0" customHeight="1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 ht="15" hidden="0" customHeight="1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 ht="15" hidden="0" customHeight="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 ht="15" hidden="0" customHeight="1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 ht="15" hidden="0" customHeight="1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 ht="15" hidden="0" customHeight="1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 ht="15" hidden="0" customHeight="1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 ht="15" hidden="0" customHeight="1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 ht="15" hidden="0" customHeight="1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 ht="15" hidden="0" customHeight="1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 ht="15" hidden="0" customHeight="1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 ht="15" hidden="0" customHeight="1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 ht="15" hidden="0" customHeight="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 ht="15" hidden="0" customHeight="1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 ht="15" hidden="0" customHeight="1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 ht="15" hidden="0" customHeight="1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 ht="15" hidden="0" customHeight="1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 ht="15" hidden="0" customHeight="1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 ht="15" hidden="0" customHeight="1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 ht="15" hidden="0" customHeight="1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 ht="15" hidden="0" customHeight="1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 ht="15" hidden="0" customHeight="1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 ht="15" hidden="0" customHeight="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 ht="15" hidden="0" customHeight="1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 ht="15" hidden="0" customHeight="1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 ht="15" hidden="0" customHeight="1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 ht="15" hidden="0" customHeight="1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 ht="15" hidden="0" customHeight="1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 ht="15" hidden="0" customHeight="1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 ht="15" hidden="0" customHeight="1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 ht="15" hidden="0" customHeight="1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 ht="15" hidden="0" customHeight="1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</x:sheetData>
  <x:pageMargins left="0.7" right="0.7" top="0.75" bottom="0.75" header="0.3" footer="0.3"/>
  <x:tableParts count="1">
    <x:tablePart xmlns:r="http://schemas.openxmlformats.org/officeDocument/2006/relationships" r:id="R0574fd19f8cd45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4" max="4" width="48" hidden="0" customWidth="1"/>
  </x:cols>
  <x:sheetData>
    <x:row r="1" ht="15" hidden="0" customHeight="1">
      <x:c r="A1" s="38" t="str">
        <x:v>Supuesto</x:v>
      </x:c>
      <x:c r="B1" s="38" t="str">
        <x:v>Valor</x:v>
      </x:c>
      <x:c r="C1" s="38" t="str">
        <x:v>Unidad</x:v>
      </x:c>
      <x:c r="D1" s="38" t="str">
        <x:v>Comentario</x:v>
      </x:c>
      <x:c r="E1" s="40"/>
      <x:c r="F1" s="40"/>
      <x:c r="G1" s="40"/>
      <x:c r="H1" s="40"/>
      <x:c r="I1" s="40"/>
      <x:c r="J1" s="40"/>
      <x:c r="K1" s="40"/>
      <x:c r="L1" s="40"/>
    </x:row>
    <x:row r="2" ht="15" hidden="0" customHeight="1">
      <x:c r="A2" s="40" t="str">
        <x:v>Presión de trabajo</x:v>
      </x:c>
      <x:c r="B2" s="58" t="n">
        <x:v>6</x:v>
      </x:c>
      <x:c r="C2" s="40" t="str">
        <x:v>bar</x:v>
      </x:c>
      <x:c r="D2" s="40" t="str">
        <x:v>El eyector suele operar bien entre 6 y 8 bar; validar ficha técnica.</x:v>
      </x:c>
      <x:c r="E2" s="40"/>
      <x:c r="F2" s="40"/>
      <x:c r="G2" s="40"/>
      <x:c r="H2" s="40"/>
      <x:c r="I2" s="40"/>
      <x:c r="J2" s="40"/>
      <x:c r="K2" s="40"/>
      <x:c r="L2" s="40"/>
    </x:row>
    <x:row r="3" ht="15" hidden="0" customHeight="1">
      <x:c r="A3" s="40" t="str">
        <x:v>Presión máxima disponible</x:v>
      </x:c>
      <x:c r="B3" s="58" t="n">
        <x:v>8</x:v>
      </x:c>
      <x:c r="C3" s="40" t="str">
        <x:v>bar</x:v>
      </x:c>
      <x:c r="D3" s="40" t="str">
        <x:v>Compresor o línea de aire.</x:v>
      </x:c>
      <x:c r="E3" s="40"/>
      <x:c r="F3" s="40"/>
      <x:c r="G3" s="40"/>
      <x:c r="H3" s="40"/>
      <x:c r="I3" s="40"/>
      <x:c r="J3" s="40"/>
      <x:c r="K3" s="40"/>
      <x:c r="L3" s="40"/>
    </x:row>
    <x:row r="4" ht="15" hidden="0" customHeight="1">
      <x:c r="A4" s="40" t="str">
        <x:v>Consumo estimado del eyector</x:v>
      </x:c>
      <x:c r="B4" s="58" t="n">
        <x:v>100</x:v>
      </x:c>
      <x:c r="C4" s="40" t="str">
        <x:v>L/min</x:v>
      </x:c>
      <x:c r="D4" s="40" t="str">
        <x:v>Valor conservador para eyector pequeño; puede variar 80–180 L/min.</x:v>
      </x:c>
      <x:c r="E4" s="40"/>
      <x:c r="F4" s="40"/>
      <x:c r="G4" s="40"/>
      <x:c r="H4" s="40"/>
      <x:c r="I4" s="40"/>
      <x:c r="J4" s="40"/>
      <x:c r="K4" s="40"/>
      <x:c r="L4" s="40"/>
    </x:row>
    <x:row r="5" ht="15" hidden="0" customHeight="1">
      <x:c r="A5" s="40" t="str">
        <x:v>Horas de operación por día</x:v>
      </x:c>
      <x:c r="B5" s="58" t="n">
        <x:v>2</x:v>
      </x:c>
      <x:c r="C5" s="40" t="str">
        <x:v>h/día</x:v>
      </x:c>
      <x:c r="D5" s="40" t="str">
        <x:v>Editable.</x:v>
      </x:c>
      <x:c r="E5" s="40"/>
      <x:c r="F5" s="40"/>
      <x:c r="G5" s="40"/>
      <x:c r="H5" s="40"/>
      <x:c r="I5" s="40"/>
      <x:c r="J5" s="40"/>
      <x:c r="K5" s="40"/>
      <x:c r="L5" s="40"/>
    </x:row>
    <x:row r="6" ht="15" hidden="0" customHeight="1">
      <x:c r="A6" s="40" t="str">
        <x:v>Días al mes</x:v>
      </x:c>
      <x:c r="B6" s="58" t="n">
        <x:v>22</x:v>
      </x:c>
      <x:c r="C6" s="40" t="str">
        <x:v>días/mes</x:v>
      </x:c>
      <x:c r="D6" s="40" t="str">
        <x:v>Editable.</x:v>
      </x:c>
      <x:c r="E6" s="40"/>
      <x:c r="F6" s="40"/>
      <x:c r="G6" s="40"/>
      <x:c r="H6" s="40"/>
      <x:c r="I6" s="40"/>
      <x:c r="J6" s="40"/>
      <x:c r="K6" s="40"/>
      <x:c r="L6" s="40"/>
    </x:row>
    <x:row r="7" ht="15" hidden="0" customHeight="1">
      <x:c r="A7" s="40" t="str">
        <x:v>Potencia compresor 2 HP</x:v>
      </x:c>
      <x:c r="B7" s="58" t="n">
        <x:v>1.5</x:v>
      </x:c>
      <x:c r="C7" s="40" t="str">
        <x:v>kW</x:v>
      </x:c>
      <x:c r="D7" s="40" t="str">
        <x:v>Aprox. 2 HP.</x:v>
      </x:c>
      <x:c r="E7" s="40"/>
      <x:c r="F7" s="40"/>
      <x:c r="G7" s="40"/>
      <x:c r="H7" s="40"/>
      <x:c r="I7" s="40"/>
      <x:c r="J7" s="40"/>
      <x:c r="K7" s="40"/>
      <x:c r="L7" s="40"/>
    </x:row>
    <x:row r="8" ht="15" hidden="0" customHeight="1">
      <x:c r="A8" s="40" t="str">
        <x:v>Tarifa energía estimada</x:v>
      </x:c>
      <x:c r="B8" s="58" t="n">
        <x:v>900</x:v>
      </x:c>
      <x:c r="C8" s="40" t="str">
        <x:v>COP/kWh</x:v>
      </x:c>
      <x:c r="D8" s="40" t="str">
        <x:v>Editable según factura.</x:v>
      </x:c>
      <x:c r="E8" s="40"/>
      <x:c r="F8" s="40"/>
      <x:c r="G8" s="40"/>
      <x:c r="H8" s="40"/>
      <x:c r="I8" s="40"/>
      <x:c r="J8" s="40"/>
      <x:c r="K8" s="40"/>
      <x:c r="L8" s="40"/>
    </x:row>
    <x:row r="9" ht="15" hidden="0" customHeight="1">
      <x:c r="A9" s="40" t="str">
        <x:v>Consumo mensual si usa compresor</x:v>
      </x:c>
      <x:c r="B9" s="58" t="n">
        <x:f>B7*B5*B6</x:f>
        <x:v>66</x:v>
      </x:c>
      <x:c r="C9" s="40" t="str">
        <x:v>kWh/mes</x:v>
      </x:c>
      <x:c r="D9" s="40" t="str">
        <x:v>Potencia por horas día por días mes.</x:v>
      </x:c>
      <x:c r="E9" s="40"/>
      <x:c r="F9" s="40"/>
      <x:c r="G9" s="40"/>
      <x:c r="H9" s="40"/>
      <x:c r="I9" s="40"/>
      <x:c r="J9" s="40"/>
      <x:c r="K9" s="40"/>
      <x:c r="L9" s="40"/>
    </x:row>
    <x:row r="10" ht="15" hidden="0" customHeight="1">
      <x:c r="A10" s="40" t="str">
        <x:v>Costo energía mensual compresor</x:v>
      </x:c>
      <x:c r="B10" s="58" t="n">
        <x:f>B9*B8</x:f>
        <x:v>59400</x:v>
      </x:c>
      <x:c r="C10" s="40" t="str">
        <x:v>COP/mes</x:v>
      </x:c>
      <x:c r="D10" s="40" t="str">
        <x:v>Consumo mensual por tarifa.</x:v>
      </x:c>
      <x:c r="E10" s="40"/>
      <x:c r="F10" s="40"/>
      <x:c r="G10" s="40"/>
      <x:c r="H10" s="40"/>
      <x:c r="I10" s="40"/>
      <x:c r="J10" s="40"/>
      <x:c r="K10" s="40"/>
      <x:c r="L10" s="40"/>
    </x:row>
    <x:row r="11" ht="15" hidden="0" customHeight="1">
      <x:c r="A11" s="40" t="str">
        <x:v>Recomendación de aire</x:v>
      </x:c>
      <x:c r="B11" s="40" t="str">
        <x:v>Usar línea existente si está disponible</x:v>
      </x:c>
      <x:c r="C11" s="40" t="str"/>
      <x:c r="D11" s="40" t="str">
        <x:v>Reduce CAPEX y mantenimiento.</x:v>
      </x:c>
      <x:c r="E11" s="40"/>
      <x:c r="F11" s="40"/>
      <x:c r="G11" s="40"/>
      <x:c r="H11" s="40"/>
      <x:c r="I11" s="40"/>
      <x:c r="J11" s="40"/>
      <x:c r="K11" s="40"/>
      <x:c r="L11" s="40"/>
    </x:row>
    <x:row r="12" ht="15" hidden="0" customHeight="1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 ht="15" hidden="0" customHeight="1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 ht="15" hidden="0" customHeight="1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 ht="15" hidden="0" customHeight="1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 ht="15" hidden="0" customHeight="1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 ht="15" hidden="0" customHeight="1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 ht="15" hidden="0" customHeight="1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 ht="15" hidden="0" customHeight="1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 ht="15" hidden="0" customHeight="1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 ht="15" hidden="0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 ht="15" hidden="0" customHeight="1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 ht="15" hidden="0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 ht="15" hidden="0" customHeight="1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 ht="15" hidden="0" customHeight="1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 ht="15" hidden="0" customHeight="1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 ht="15" hidden="0" customHeight="1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 ht="15" hidden="0" customHeight="1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 ht="15" hidden="0" customHeight="1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 ht="15" hidden="0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 ht="15" hidden="0" customHeight="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 ht="15" hidden="0" customHeight="1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 ht="15" hidden="0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 ht="15" hidden="0" customHeight="1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 ht="15" hidden="0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 ht="15" hidden="0" customHeight="1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 ht="15" hidden="0" customHeight="1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 ht="15" hidden="0" customHeight="1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 ht="15" hidden="0" customHeight="1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 ht="15" hidden="0" customHeight="1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 ht="15" hidden="0" customHeight="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 ht="15" hidden="0" customHeight="1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 ht="15" hidden="0" customHeight="1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 ht="15" hidden="0" customHeight="1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 ht="15" hidden="0" customHeight="1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 ht="15" hidden="0" customHeight="1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 ht="15" hidden="0" customHeight="1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 ht="15" hidden="0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 ht="15" hidden="0" customHeight="1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 ht="15" hidden="0" customHeight="1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 ht="15" hidden="0" customHeight="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 ht="15" hidden="0" customHeight="1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 ht="15" hidden="0" customHeight="1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 ht="15" hidden="0" customHeight="1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 ht="15" hidden="0" customHeight="1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 ht="15" hidden="0" customHeight="1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 ht="15" hidden="0" customHeight="1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 ht="15" hidden="0" customHeight="1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 ht="15" hidden="0" customHeight="1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 ht="15" hidden="0" customHeight="1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 ht="15" hidden="0" customHeight="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 ht="15" hidden="0" customHeight="1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 ht="15" hidden="0" customHeight="1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 ht="15" hidden="0" customHeight="1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 ht="15" hidden="0" customHeight="1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 ht="15" hidden="0" customHeight="1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 ht="15" hidden="0" customHeight="1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 ht="15" hidden="0" customHeight="1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 ht="15" hidden="0" customHeight="1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 ht="15" hidden="0" customHeight="1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 ht="15" hidden="0" customHeight="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 ht="15" hidden="0" customHeight="1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 ht="15" hidden="0" customHeight="1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 ht="15" hidden="0" customHeight="1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 ht="15" hidden="0" customHeight="1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 ht="15" hidden="0" customHeight="1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 ht="15" hidden="0" customHeight="1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 ht="15" hidden="0" customHeight="1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 ht="15" hidden="0" customHeight="1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 ht="15" hidden="0" customHeight="1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 ht="15" hidden="0" customHeight="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 ht="15" hidden="0" customHeight="1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 ht="15" hidden="0" customHeight="1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 ht="15" hidden="0" customHeight="1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 ht="15" hidden="0" customHeight="1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 ht="15" hidden="0" customHeight="1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 ht="15" hidden="0" customHeight="1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 ht="15" hidden="0" customHeight="1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 ht="15" hidden="0" customHeight="1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 ht="15" hidden="0" customHeight="1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 ht="15" hidden="0" customHeight="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 ht="15" hidden="0" customHeight="1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 ht="15" hidden="0" customHeight="1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 ht="15" hidden="0" customHeight="1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 ht="15" hidden="0" customHeight="1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 ht="15" hidden="0" customHeight="1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 ht="15" hidden="0" customHeight="1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 ht="15" hidden="0" customHeight="1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 ht="15" hidden="0" customHeight="1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 ht="15" hidden="0" customHeight="1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</x:sheetData>
  <x:pageMargins left="0.7" right="0.7" top="0.75" bottom="0.75" header="0.3" footer="0.3"/>
  <x:tableParts count="1">
    <x:tablePart xmlns:r="http://schemas.openxmlformats.org/officeDocument/2006/relationships" r:id="R3aa083c467bd4ea0"/>
  </x:tableParts>
</x:worksheet>
</file>