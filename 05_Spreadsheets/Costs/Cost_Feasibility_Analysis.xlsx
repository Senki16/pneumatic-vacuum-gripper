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232B77A2-3E1C-4890-A547-B098325102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abilidad" sheetId="1" r:id="rId1"/>
    <sheet name="Costos Prototipo" sheetId="2" r:id="rId2"/>
    <sheet name="Producto Industrial" sheetId="3" r:id="rId3"/>
    <sheet name="Supuestos" sheetId="4" r:id="rId4"/>
  </sheets>
  <definedNames>
    <definedName name="_xlnm._FilterDatabase" localSheetId="1" hidden="1">'Costos Prototipo'!$A$6:$L$25</definedName>
    <definedName name="_xlnm._FilterDatabase" localSheetId="2" hidden="1">'Producto Industrial'!$A$6:$L$25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B3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B10" i="1"/>
  <c r="B38" i="2" l="1"/>
  <c r="B36" i="3"/>
  <c r="B35" i="2"/>
  <c r="B34" i="2"/>
  <c r="J26" i="2"/>
  <c r="K9" i="2" s="1"/>
  <c r="B36" i="2"/>
  <c r="B38" i="3"/>
  <c r="B37" i="2"/>
  <c r="B37" i="3"/>
  <c r="J26" i="3"/>
  <c r="K21" i="3" s="1"/>
  <c r="B34" i="3"/>
  <c r="K14" i="2" l="1"/>
  <c r="C35" i="2"/>
  <c r="C34" i="3"/>
  <c r="K15" i="3"/>
  <c r="K11" i="2"/>
  <c r="K10" i="3"/>
  <c r="C38" i="2"/>
  <c r="K24" i="2"/>
  <c r="C36" i="3"/>
  <c r="K17" i="3"/>
  <c r="K14" i="3"/>
  <c r="K17" i="2"/>
  <c r="K10" i="2"/>
  <c r="C38" i="3"/>
  <c r="K13" i="2"/>
  <c r="K11" i="3"/>
  <c r="C34" i="2"/>
  <c r="K9" i="3"/>
  <c r="K24" i="3"/>
  <c r="K18" i="2"/>
  <c r="K13" i="3"/>
  <c r="K23" i="3"/>
  <c r="K8" i="2"/>
  <c r="K22" i="3"/>
  <c r="K7" i="2"/>
  <c r="K20" i="3"/>
  <c r="K25" i="3"/>
  <c r="K16" i="3"/>
  <c r="K23" i="2"/>
  <c r="K7" i="3"/>
  <c r="K19" i="2"/>
  <c r="K16" i="2"/>
  <c r="K20" i="2"/>
  <c r="K25" i="2"/>
  <c r="C35" i="3"/>
  <c r="C37" i="3"/>
  <c r="K12" i="3"/>
  <c r="K15" i="2"/>
  <c r="K22" i="2"/>
  <c r="K8" i="3"/>
  <c r="K19" i="3"/>
  <c r="C37" i="2"/>
  <c r="C36" i="2"/>
  <c r="J28" i="3"/>
  <c r="B4" i="1"/>
  <c r="B3" i="1"/>
  <c r="J28" i="2"/>
  <c r="K12" i="2"/>
  <c r="K21" i="2"/>
  <c r="K18" i="3"/>
  <c r="C3" i="1" l="1"/>
  <c r="J29" i="2"/>
  <c r="J30" i="2" s="1"/>
  <c r="J29" i="3"/>
  <c r="J30" i="3" s="1"/>
  <c r="C4" i="1"/>
  <c r="B7" i="1"/>
  <c r="B6" i="1"/>
  <c r="B9" i="1" l="1"/>
  <c r="D4" i="1"/>
  <c r="E4" i="1" s="1"/>
  <c r="D3" i="1"/>
  <c r="E3" i="1" s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L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Cantidad tomada del plano de manufactura: 4 racores roscados comerciales.</t>
        </r>
      </text>
    </comment>
    <comment ref="L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Cantidad tomada del plano de manufactura: 4 ventosas.</t>
        </r>
      </text>
    </comment>
    <comment ref="L1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Cantidad estimada para prototipo: 2 m. Ajustar según montaje real.</t>
        </r>
      </text>
    </comment>
    <comment ref="L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Se considera costo cero si el laboratorio/planta ya tiene aire comprimido. Si se requiere autonomía, agregar compresor.</t>
        </r>
      </text>
    </comment>
    <comment ref="L1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Cantidad tomada del plano de manufactura: 8 tornillos.</t>
        </r>
      </text>
    </comment>
    <comment ref="L2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Cantidad estimada: 0,5 kg para prototipo impreso en 3D.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L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Cantidad tomada del plano de manufactura: 4 racores roscados comerciales.</t>
        </r>
      </text>
    </comment>
    <comment ref="L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Cantidad tomada del plano de manufactura: 4 ventosas.</t>
        </r>
      </text>
    </comment>
    <comment ref="L10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Cantidad estimada para prototipo: 2 m. Ajustar según montaje real.</t>
        </r>
      </text>
    </comment>
    <comment ref="L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 considera costo cero si el laboratorio/planta ya tiene aire comprimido. Si se requiere autonomía, agregar compresor.</t>
        </r>
      </text>
    </comment>
    <comment ref="L1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Cantidad tomada del plano de manufactura: 8 tornillos.</t>
        </r>
      </text>
    </comment>
    <comment ref="L2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Cantidad estimada: 2 kg, considerando placa/base, acoples y desperdicio de mecanizado.</t>
        </r>
      </text>
    </comment>
  </commentList>
</comments>
</file>

<file path=xl/sharedStrings.xml><?xml version="1.0" encoding="utf-8"?>
<sst xmlns="http://schemas.openxmlformats.org/spreadsheetml/2006/main" count="302" uniqueCount="115">
  <si>
    <t>Resumen de viabilidad económica del gripper neumático</t>
  </si>
  <si>
    <t>Escenario</t>
  </si>
  <si>
    <t>Costo total (COP)</t>
  </si>
  <si>
    <t>Precio venta 80% margen sobre costo</t>
  </si>
  <si>
    <t>Utilidad bruta (COP)</t>
  </si>
  <si>
    <t>Margen sobre precio</t>
  </si>
  <si>
    <t>Comentario</t>
  </si>
  <si>
    <t>Decisión</t>
  </si>
  <si>
    <t>Nota</t>
  </si>
  <si>
    <t>Prototipo</t>
  </si>
  <si>
    <t>Alta viabilidad técnica/económica</t>
  </si>
  <si>
    <t>No incluye compresor; se asume línea de aire existente</t>
  </si>
  <si>
    <t>Industrial</t>
  </si>
  <si>
    <t>Viabilidad comercial media/alta</t>
  </si>
  <si>
    <t>Puede bajar costo si cambia vacuostato por sensor económico</t>
  </si>
  <si>
    <t>Indicadores clave</t>
  </si>
  <si>
    <t>Diferencia de costo industrial vs prototipo</t>
  </si>
  <si>
    <t>Industrial cuesta más que prototipo</t>
  </si>
  <si>
    <t>Precio mínimo recomendado prototipo</t>
  </si>
  <si>
    <t>Precio mínimo recomendado industrial</t>
  </si>
  <si>
    <t>Lectura para el informe</t>
  </si>
  <si>
    <t>La viabilidad económica se evalúa comparando el costo total de fabricación con un precio de venta que considera un margen del 80% sobre el costo. El prototipo es más económico porque reemplaza la estructura de aluminio por resina tipo ABS y el vacuostato industrial por un sensor MPX5700. El producto industrial aumenta su costo por el uso de aluminio mecanizado y sensórica robusta, pero ofrece mayor confiabilidad para operación real. La línea de aire se considera existente; si el sistema debe ser autónomo, debe agregarse un compresor como costo adicional.</t>
  </si>
  <si>
    <t>Análisis de costos - Costos Prototipo</t>
  </si>
  <si>
    <t>Supuesto de margen sobre costo</t>
  </si>
  <si>
    <t>Precio de venta = Costo total × (1 + margen)</t>
  </si>
  <si>
    <t>Tipo</t>
  </si>
  <si>
    <t>Ítem</t>
  </si>
  <si>
    <t>Proveedor</t>
  </si>
  <si>
    <t>Dirección</t>
  </si>
  <si>
    <t>Cantidad</t>
  </si>
  <si>
    <t>Unidad</t>
  </si>
  <si>
    <t>Precio mín. unitario (COP)</t>
  </si>
  <si>
    <t>Precio máx. unitario (COP)</t>
  </si>
  <si>
    <t>Precio promedio unitario (COP)</t>
  </si>
  <si>
    <t>Costo promedio (COP)</t>
  </si>
  <si>
    <t>% aporte costo</t>
  </si>
  <si>
    <t>Observación</t>
  </si>
  <si>
    <t>Neumática</t>
  </si>
  <si>
    <t>Racor 0.375-16</t>
  </si>
  <si>
    <t>Airtac Colombia</t>
  </si>
  <si>
    <t>Medellín</t>
  </si>
  <si>
    <t>unidad</t>
  </si>
  <si>
    <t>Cantidad tomada del plano de manufactura: 4 racores roscados comerciales.</t>
  </si>
  <si>
    <t>Ventosa Ø25 mm tipo fuelle</t>
  </si>
  <si>
    <t>Cantidad tomada del plano de manufactura: 4 ventosas.</t>
  </si>
  <si>
    <t>Vacuum Generator VN 10 H</t>
  </si>
  <si>
    <t>Tubería neumática Ø6 mm</t>
  </si>
  <si>
    <t>Homecenter</t>
  </si>
  <si>
    <t>m</t>
  </si>
  <si>
    <t>Cantidad estimada para prototipo: 2 m. Ajustar según montaje real.</t>
  </si>
  <si>
    <t>Válvula solenoide</t>
  </si>
  <si>
    <t>Válvula antirretorno</t>
  </si>
  <si>
    <t>Filtro de aire</t>
  </si>
  <si>
    <t>Línea de aire existente</t>
  </si>
  <si>
    <t>Planta / laboratorio</t>
  </si>
  <si>
    <t>Existente</t>
  </si>
  <si>
    <t>Se considera costo cero si el laboratorio/planta ya tiene aire comprimido. Si se requiere autonomía, agregar compresor.</t>
  </si>
  <si>
    <t>Sujeción</t>
  </si>
  <si>
    <t>Tornillo M4 x 40</t>
  </si>
  <si>
    <t>Tornillos y Partes Medellín</t>
  </si>
  <si>
    <t>Centro</t>
  </si>
  <si>
    <t>Cantidad tomada del plano de manufactura: 8 tornillos.</t>
  </si>
  <si>
    <t>Electrónica</t>
  </si>
  <si>
    <t>Controlador ESP32</t>
  </si>
  <si>
    <t>Microcomponentes Medellín</t>
  </si>
  <si>
    <t>Relé</t>
  </si>
  <si>
    <t>Alimentador 24 V</t>
  </si>
  <si>
    <t>Step-down 24 V → 5 V / 3.3 V</t>
  </si>
  <si>
    <t>Material</t>
  </si>
  <si>
    <t>Resina tipo ABS</t>
  </si>
  <si>
    <t>Smart Materials 3D</t>
  </si>
  <si>
    <t>kg</t>
  </si>
  <si>
    <t>Cantidad estimada: 0,5 kg para prototipo impreso en 3D.</t>
  </si>
  <si>
    <t>Sensor MPX5700</t>
  </si>
  <si>
    <t>Mano de obra</t>
  </si>
  <si>
    <t>Diseño CAD y ajustes</t>
  </si>
  <si>
    <t>Equipo de diseño</t>
  </si>
  <si>
    <t>Interno</t>
  </si>
  <si>
    <t>h</t>
  </si>
  <si>
    <t>Impresión 3D / postproceso</t>
  </si>
  <si>
    <t>Taller / laboratorio</t>
  </si>
  <si>
    <t>Ensamble neumático y mecánico</t>
  </si>
  <si>
    <t>Programación ESP32 y pruebas</t>
  </si>
  <si>
    <t>TOTAL COSTO</t>
  </si>
  <si>
    <t>100%</t>
  </si>
  <si>
    <t>Precio de venta con margen 80%</t>
  </si>
  <si>
    <t>Utilidad bruta estimada</t>
  </si>
  <si>
    <t>Margen sobre precio de venta</t>
  </si>
  <si>
    <t>Resumen por categoría</t>
  </si>
  <si>
    <t>Categoría</t>
  </si>
  <si>
    <t>Costo (COP)</t>
  </si>
  <si>
    <t>% del total</t>
  </si>
  <si>
    <t>Análisis de costos - Producto Industrial</t>
  </si>
  <si>
    <t>Aluminio 6061-T6 [estructura]</t>
  </si>
  <si>
    <t>Alumina Medellín</t>
  </si>
  <si>
    <t>Cantidad estimada: 2 kg, considerando placa/base, acoples y desperdicio de mecanizado.</t>
  </si>
  <si>
    <t>Vacuostato 24 V</t>
  </si>
  <si>
    <t>Diseño CAD y documentación</t>
  </si>
  <si>
    <t>Mecanizado aluminio</t>
  </si>
  <si>
    <t>Taller de manufactura</t>
  </si>
  <si>
    <t>Programación, calibración y pruebas</t>
  </si>
  <si>
    <t>Supuestos del modelo</t>
  </si>
  <si>
    <t>Supuesto</t>
  </si>
  <si>
    <t>Valor</t>
  </si>
  <si>
    <t>Margen aplicado</t>
  </si>
  <si>
    <t>%</t>
  </si>
  <si>
    <t>Se interpreta como margen sobre costo: precio = costo × 1,8.</t>
  </si>
  <si>
    <t>COP</t>
  </si>
  <si>
    <t>No se incluye compresor. Si el prototipo debe ser autónomo, agregar compresor.</t>
  </si>
  <si>
    <t>Tubería neumática</t>
  </si>
  <si>
    <t>Cantidad estimada para montaje compacto.</t>
  </si>
  <si>
    <t>Aluminio estructura</t>
  </si>
  <si>
    <t>Incluye base, acoples y desperdicio de mecanizado.</t>
  </si>
  <si>
    <t>Estimación para impresión 3D del prototipo.</t>
  </si>
  <si>
    <t>Utilidad 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</si>
</sst>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[Red]\(\$#,##0\);\-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0" xfId="0" applyFont="1" applyFill="1" applyAlignment="1">
      <alignment horizontal="center" wrapText="1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165" fontId="6" fillId="6" borderId="0" xfId="0" applyNumberFormat="1" applyFont="1" applyFill="1"/>
    <xf numFmtId="164" fontId="6" fillId="6" borderId="0" xfId="0" applyNumberFormat="1" applyFont="1" applyFill="1"/>
    <xf numFmtId="0" fontId="2" fillId="0" borderId="0" xfId="0" applyFont="1"/>
    <xf numFmtId="164" fontId="3" fillId="3" borderId="0" xfId="0" applyNumberFormat="1" applyFont="1" applyFill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right" vertical="top"/>
    </xf>
    <xf numFmtId="165" fontId="0" fillId="4" borderId="2" xfId="0" applyNumberFormat="1" applyFill="1" applyBorder="1" applyAlignment="1">
      <alignment horizontal="right" vertical="top"/>
    </xf>
    <xf numFmtId="164" fontId="0" fillId="4" borderId="2" xfId="0" applyNumberFormat="1" applyFill="1" applyBorder="1" applyAlignment="1">
      <alignment horizontal="right" vertical="top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right" vertical="top"/>
    </xf>
    <xf numFmtId="165" fontId="0" fillId="5" borderId="2" xfId="0" applyNumberFormat="1" applyFill="1" applyBorder="1" applyAlignment="1">
      <alignment horizontal="right" vertical="top"/>
    </xf>
    <xf numFmtId="164" fontId="0" fillId="5" borderId="2" xfId="0" applyNumberFormat="1" applyFill="1" applyBorder="1" applyAlignment="1">
      <alignment horizontal="right" vertical="top"/>
    </xf>
    <xf numFmtId="0" fontId="0" fillId="6" borderId="2" xfId="0" applyFill="1" applyBorder="1" applyAlignment="1">
      <alignment vertical="top" wrapText="1"/>
    </xf>
    <xf numFmtId="0" fontId="0" fillId="6" borderId="2" xfId="0" applyFill="1" applyBorder="1" applyAlignment="1">
      <alignment horizontal="right" vertical="top"/>
    </xf>
    <xf numFmtId="165" fontId="0" fillId="6" borderId="2" xfId="0" applyNumberFormat="1" applyFill="1" applyBorder="1" applyAlignment="1">
      <alignment horizontal="right" vertical="top"/>
    </xf>
    <xf numFmtId="164" fontId="0" fillId="6" borderId="2" xfId="0" applyNumberFormat="1" applyFill="1" applyBorder="1" applyAlignment="1">
      <alignment horizontal="right" vertical="top"/>
    </xf>
    <xf numFmtId="0" fontId="0" fillId="7" borderId="2" xfId="0" applyFill="1" applyBorder="1" applyAlignment="1">
      <alignment vertical="top" wrapText="1"/>
    </xf>
    <xf numFmtId="0" fontId="0" fillId="7" borderId="2" xfId="0" applyFill="1" applyBorder="1" applyAlignment="1">
      <alignment horizontal="right" vertical="top"/>
    </xf>
    <xf numFmtId="165" fontId="0" fillId="7" borderId="2" xfId="0" applyNumberFormat="1" applyFill="1" applyBorder="1" applyAlignment="1">
      <alignment horizontal="right" vertical="top"/>
    </xf>
    <xf numFmtId="164" fontId="0" fillId="7" borderId="2" xfId="0" applyNumberFormat="1" applyFill="1" applyBorder="1" applyAlignment="1">
      <alignment horizontal="right" vertical="top"/>
    </xf>
    <xf numFmtId="0" fontId="0" fillId="8" borderId="2" xfId="0" applyFill="1" applyBorder="1" applyAlignment="1">
      <alignment vertical="top" wrapText="1"/>
    </xf>
    <xf numFmtId="0" fontId="0" fillId="8" borderId="2" xfId="0" applyFill="1" applyBorder="1" applyAlignment="1">
      <alignment horizontal="right" vertical="top"/>
    </xf>
    <xf numFmtId="165" fontId="0" fillId="8" borderId="2" xfId="0" applyNumberFormat="1" applyFill="1" applyBorder="1" applyAlignment="1">
      <alignment horizontal="right" vertical="top"/>
    </xf>
    <xf numFmtId="164" fontId="0" fillId="8" borderId="2" xfId="0" applyNumberFormat="1" applyFill="1" applyBorder="1" applyAlignment="1">
      <alignment horizontal="right" vertical="top"/>
    </xf>
    <xf numFmtId="0" fontId="5" fillId="2" borderId="3" xfId="0" applyFont="1" applyFill="1" applyBorder="1"/>
    <xf numFmtId="165" fontId="5" fillId="2" borderId="3" xfId="0" applyNumberFormat="1" applyFont="1" applyFill="1" applyBorder="1"/>
    <xf numFmtId="164" fontId="5" fillId="2" borderId="3" xfId="0" applyNumberFormat="1" applyFont="1" applyFill="1" applyBorder="1"/>
    <xf numFmtId="165" fontId="0" fillId="0" borderId="0" xfId="0" applyNumberFormat="1"/>
    <xf numFmtId="164" fontId="0" fillId="0" borderId="0" xfId="0" applyNumberFormat="1"/>
    <xf numFmtId="165" fontId="6" fillId="0" borderId="0" xfId="0" applyNumberFormat="1" applyFont="1"/>
    <xf numFmtId="0" fontId="5" fillId="2" borderId="2" xfId="0" applyFont="1" applyFill="1" applyBorder="1"/>
    <xf numFmtId="0" fontId="0" fillId="0" borderId="2" xfId="0" applyBorder="1"/>
    <xf numFmtId="164" fontId="0" fillId="0" borderId="2" xfId="0" applyNumberFormat="1" applyBorder="1"/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Comparación económica: prototipo vs industrial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Viabilidad!$B$2</c:f>
              <c:strCache>
                <c:ptCount val="1"/>
                <c:pt idx="0">
                  <c:v>Costo total (COP)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Viabilidad!$A$3:$A$4</c:f>
              <c:strCache>
                <c:ptCount val="2"/>
                <c:pt idx="0">
                  <c:v>Prototipo</c:v>
                </c:pt>
                <c:pt idx="1">
                  <c:v>Industrial</c:v>
                </c:pt>
              </c:strCache>
            </c:strRef>
          </c:cat>
          <c:val>
            <c:numRef>
              <c:f>Viabilidad!$B$3:$B$4</c:f>
              <c:numCache>
                <c:formatCode>\$#,##0;[Red]\(\$#,##0\);\-</c:formatCode>
                <c:ptCount val="2"/>
                <c:pt idx="0">
                  <c:v>1701700</c:v>
                </c:pt>
                <c:pt idx="1">
                  <c:v>1726700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C-4C94-9984-98D3A28F5BE1}"/>
            </c:ext>
          </c:extLst>
        </c:ser>
        <c:ser>
          <c:idx val="1"/>
          <c:order val="1"/>
          <c:tx>
            <c:strRef>
              <c:f>Viabilidad!$C$2</c:f>
              <c:strCache>
                <c:ptCount val="1"/>
                <c:pt idx="0">
                  <c:v>Precio venta 80% margen sobre costo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Viabilidad!$A$3:$A$4</c:f>
              <c:strCache>
                <c:ptCount val="2"/>
                <c:pt idx="0">
                  <c:v>Prototipo</c:v>
                </c:pt>
                <c:pt idx="1">
                  <c:v>Industrial</c:v>
                </c:pt>
              </c:strCache>
            </c:strRef>
          </c:cat>
          <c:val>
            <c:numRef>
              <c:f>Viabilidad!$C$3:$C$4</c:f>
              <c:numCache>
                <c:formatCode>\$#,##0;[Red]\(\$#,##0\);\-</c:formatCode>
                <c:ptCount val="2"/>
                <c:pt idx="0">
                  <c:v>3063060</c:v>
                </c:pt>
                <c:pt idx="1">
                  <c:v>3108060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C-4C94-9984-98D3A28F5BE1}"/>
            </c:ext>
          </c:extLst>
        </c:ser>
        <c:ser>
          <c:idx val="2"/>
          <c:order val="2"/>
          <c:tx>
            <c:strRef>
              <c:f>Viabilidad!$D$2</c:f>
              <c:strCache>
                <c:ptCount val="1"/>
                <c:pt idx="0">
                  <c:v>Utilidad bruta (COP)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Viabilidad!$A$3:$A$4</c:f>
              <c:strCache>
                <c:ptCount val="2"/>
                <c:pt idx="0">
                  <c:v>Prototipo</c:v>
                </c:pt>
                <c:pt idx="1">
                  <c:v>Industrial</c:v>
                </c:pt>
              </c:strCache>
            </c:strRef>
          </c:cat>
          <c:val>
            <c:numRef>
              <c:f>Viabilidad!$D$3:$D$4</c:f>
              <c:numCache>
                <c:formatCode>\$#,##0;[Red]\(\$#,##0\);\-</c:formatCode>
                <c:ptCount val="2"/>
                <c:pt idx="0">
                  <c:v>1361360</c:v>
                </c:pt>
                <c:pt idx="1">
                  <c:v>1381360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C-4C94-9984-98D3A28F5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Escenario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COP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Distribución de costos - Costos Prototipo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'Costos Prototipo'!$B$33</c:f>
              <c:strCache>
                <c:ptCount val="1"/>
                <c:pt idx="0">
                  <c:v>Costo (COP)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'Costos Prototipo'!$A$34:$A$38</c:f>
              <c:strCache>
                <c:ptCount val="5"/>
                <c:pt idx="0">
                  <c:v>Neumática</c:v>
                </c:pt>
                <c:pt idx="1">
                  <c:v>Sujeción</c:v>
                </c:pt>
                <c:pt idx="2">
                  <c:v>Material</c:v>
                </c:pt>
                <c:pt idx="3">
                  <c:v>Electrónica</c:v>
                </c:pt>
                <c:pt idx="4">
                  <c:v>Mano de obra</c:v>
                </c:pt>
              </c:strCache>
            </c:strRef>
          </c:cat>
          <c:val>
            <c:numRef>
              <c:f>'Costos Prototipo'!$B$34:$B$38</c:f>
              <c:numCache>
                <c:formatCode>General</c:formatCode>
                <c:ptCount val="5"/>
                <c:pt idx="0">
                  <c:v>765000</c:v>
                </c:pt>
                <c:pt idx="1">
                  <c:v>5200</c:v>
                </c:pt>
                <c:pt idx="2">
                  <c:v>92500</c:v>
                </c:pt>
                <c:pt idx="3">
                  <c:v>164000</c:v>
                </c:pt>
                <c:pt idx="4">
                  <c:v>675000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1-4106-94AA-4C9147EA2D2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Costo por ítem - Costos Prototipo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'Costos Prototipo'!$J$6</c:f>
              <c:strCache>
                <c:ptCount val="1"/>
                <c:pt idx="0">
                  <c:v>Costo promedio (COP)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'Costos Prototipo'!$B$7:$B$25</c:f>
              <c:strCache>
                <c:ptCount val="19"/>
                <c:pt idx="0">
                  <c:v>Racor 0.375-16</c:v>
                </c:pt>
                <c:pt idx="1">
                  <c:v>Ventosa Ø25 mm tipo fuelle</c:v>
                </c:pt>
                <c:pt idx="2">
                  <c:v>Vacuum Generator VN 10 H</c:v>
                </c:pt>
                <c:pt idx="3">
                  <c:v>Tubería neumática Ø6 mm</c:v>
                </c:pt>
                <c:pt idx="4">
                  <c:v>Válvula solenoide</c:v>
                </c:pt>
                <c:pt idx="5">
                  <c:v>Válvula antirretorno</c:v>
                </c:pt>
                <c:pt idx="6">
                  <c:v>Filtro de aire</c:v>
                </c:pt>
                <c:pt idx="7">
                  <c:v>Línea de aire existente</c:v>
                </c:pt>
                <c:pt idx="8">
                  <c:v>Tornillo M4 x 40</c:v>
                </c:pt>
                <c:pt idx="9">
                  <c:v>Controlador ESP32</c:v>
                </c:pt>
                <c:pt idx="10">
                  <c:v>Relé</c:v>
                </c:pt>
                <c:pt idx="11">
                  <c:v>Alimentador 24 V</c:v>
                </c:pt>
                <c:pt idx="12">
                  <c:v>Step-down 24 V → 5 V / 3.3 V</c:v>
                </c:pt>
                <c:pt idx="13">
                  <c:v>Resina tipo ABS</c:v>
                </c:pt>
                <c:pt idx="14">
                  <c:v>Sensor MPX5700</c:v>
                </c:pt>
                <c:pt idx="15">
                  <c:v>Diseño CAD y ajustes</c:v>
                </c:pt>
                <c:pt idx="16">
                  <c:v>Impresión 3D / postproceso</c:v>
                </c:pt>
                <c:pt idx="17">
                  <c:v>Ensamble neumático y mecánico</c:v>
                </c:pt>
                <c:pt idx="18">
                  <c:v>Programación ESP32 y pruebas</c:v>
                </c:pt>
              </c:strCache>
            </c:strRef>
          </c:cat>
          <c:val>
            <c:numRef>
              <c:f>'Costos Prototipo'!$J$7:$J$25</c:f>
              <c:numCache>
                <c:formatCode>\$#,##0;[Red]\(\$#,##0\);\-</c:formatCode>
                <c:ptCount val="19"/>
                <c:pt idx="0">
                  <c:v>70000</c:v>
                </c:pt>
                <c:pt idx="1">
                  <c:v>110000</c:v>
                </c:pt>
                <c:pt idx="2">
                  <c:v>325000</c:v>
                </c:pt>
                <c:pt idx="3">
                  <c:v>10000</c:v>
                </c:pt>
                <c:pt idx="4">
                  <c:v>130000</c:v>
                </c:pt>
                <c:pt idx="5">
                  <c:v>40000</c:v>
                </c:pt>
                <c:pt idx="6">
                  <c:v>80000</c:v>
                </c:pt>
                <c:pt idx="7">
                  <c:v>0</c:v>
                </c:pt>
                <c:pt idx="8">
                  <c:v>5200</c:v>
                </c:pt>
                <c:pt idx="9">
                  <c:v>42500</c:v>
                </c:pt>
                <c:pt idx="10">
                  <c:v>10000</c:v>
                </c:pt>
                <c:pt idx="11">
                  <c:v>55000</c:v>
                </c:pt>
                <c:pt idx="12">
                  <c:v>16500</c:v>
                </c:pt>
                <c:pt idx="13">
                  <c:v>92500</c:v>
                </c:pt>
                <c:pt idx="14">
                  <c:v>40000</c:v>
                </c:pt>
                <c:pt idx="15">
                  <c:v>360000</c:v>
                </c:pt>
                <c:pt idx="16">
                  <c:v>150000</c:v>
                </c:pt>
                <c:pt idx="17">
                  <c:v>75000</c:v>
                </c:pt>
                <c:pt idx="18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C-4F69-8F5D-20363CC11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Costo promedio (COP)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Ítem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Distribución de costos - Producto Industrial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'Producto Industrial'!$B$33</c:f>
              <c:strCache>
                <c:ptCount val="1"/>
                <c:pt idx="0">
                  <c:v>Costo (COP)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layout>
                <c:manualLayout>
                  <c:x val="0.13404865152725476"/>
                  <c:y val="-0.3218699186991870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D6-49AA-83DE-71E227FD3078}"/>
                </c:ext>
              </c:extLst>
            </c:dLbl>
            <c:dLbl>
              <c:idx val="2"/>
              <c:layout>
                <c:manualLayout>
                  <c:x val="0.17770683555859865"/>
                  <c:y val="-6.8292682926829268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D6-49AA-83DE-71E227FD3078}"/>
                </c:ext>
              </c:extLst>
            </c:dLbl>
            <c:dLbl>
              <c:idx val="4"/>
              <c:layout>
                <c:manualLayout>
                  <c:x val="-8.2881944444444453E-3"/>
                  <c:y val="8.0634920634920629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D6-49AA-83DE-71E227FD307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'Producto Industrial'!$A$34:$A$38</c:f>
              <c:strCache>
                <c:ptCount val="5"/>
                <c:pt idx="0">
                  <c:v>Neumática</c:v>
                </c:pt>
                <c:pt idx="1">
                  <c:v>Sujeción</c:v>
                </c:pt>
                <c:pt idx="2">
                  <c:v>Material</c:v>
                </c:pt>
                <c:pt idx="3">
                  <c:v>Electrónica</c:v>
                </c:pt>
                <c:pt idx="4">
                  <c:v>Mano de obra</c:v>
                </c:pt>
              </c:strCache>
            </c:strRef>
          </c:cat>
          <c:val>
            <c:numRef>
              <c:f>'Producto Industrial'!$B$34:$B$38</c:f>
              <c:numCache>
                <c:formatCode>General</c:formatCode>
                <c:ptCount val="5"/>
                <c:pt idx="0">
                  <c:v>765000</c:v>
                </c:pt>
                <c:pt idx="1">
                  <c:v>5200</c:v>
                </c:pt>
                <c:pt idx="2">
                  <c:v>55000</c:v>
                </c:pt>
                <c:pt idx="3">
                  <c:v>334000</c:v>
                </c:pt>
                <c:pt idx="4">
                  <c:v>567500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6-49AA-83DE-71E227FD307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Costo por ítem - Producto Industrial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'Producto Industrial'!$J$6</c:f>
              <c:strCache>
                <c:ptCount val="1"/>
                <c:pt idx="0">
                  <c:v>Costo promedio (COP)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'Producto Industrial'!$B$7:$B$25</c:f>
              <c:strCache>
                <c:ptCount val="19"/>
                <c:pt idx="0">
                  <c:v>Racor 0.375-16</c:v>
                </c:pt>
                <c:pt idx="1">
                  <c:v>Ventosa Ø25 mm tipo fuelle</c:v>
                </c:pt>
                <c:pt idx="2">
                  <c:v>Vacuum Generator VN 10 H</c:v>
                </c:pt>
                <c:pt idx="3">
                  <c:v>Tubería neumática Ø6 mm</c:v>
                </c:pt>
                <c:pt idx="4">
                  <c:v>Válvula solenoide</c:v>
                </c:pt>
                <c:pt idx="5">
                  <c:v>Válvula antirretorno</c:v>
                </c:pt>
                <c:pt idx="6">
                  <c:v>Filtro de aire</c:v>
                </c:pt>
                <c:pt idx="7">
                  <c:v>Línea de aire existente</c:v>
                </c:pt>
                <c:pt idx="8">
                  <c:v>Tornillo M4 x 40</c:v>
                </c:pt>
                <c:pt idx="9">
                  <c:v>Controlador ESP32</c:v>
                </c:pt>
                <c:pt idx="10">
                  <c:v>Relé</c:v>
                </c:pt>
                <c:pt idx="11">
                  <c:v>Alimentador 24 V</c:v>
                </c:pt>
                <c:pt idx="12">
                  <c:v>Step-down 24 V → 5 V / 3.3 V</c:v>
                </c:pt>
                <c:pt idx="13">
                  <c:v>Aluminio 6061-T6 [estructura]</c:v>
                </c:pt>
                <c:pt idx="14">
                  <c:v>Vacuostato 24 V</c:v>
                </c:pt>
                <c:pt idx="15">
                  <c:v>Diseño CAD y documentación</c:v>
                </c:pt>
                <c:pt idx="16">
                  <c:v>Mecanizado aluminio</c:v>
                </c:pt>
                <c:pt idx="17">
                  <c:v>Ensamble neumático y mecánico</c:v>
                </c:pt>
                <c:pt idx="18">
                  <c:v>Programación, calibración y pruebas</c:v>
                </c:pt>
              </c:strCache>
            </c:strRef>
          </c:cat>
          <c:val>
            <c:numRef>
              <c:f>'Producto Industrial'!$J$7:$J$25</c:f>
              <c:numCache>
                <c:formatCode>\$#,##0;[Red]\(\$#,##0\);\-</c:formatCode>
                <c:ptCount val="19"/>
                <c:pt idx="0">
                  <c:v>70000</c:v>
                </c:pt>
                <c:pt idx="1">
                  <c:v>110000</c:v>
                </c:pt>
                <c:pt idx="2">
                  <c:v>325000</c:v>
                </c:pt>
                <c:pt idx="3">
                  <c:v>10000</c:v>
                </c:pt>
                <c:pt idx="4">
                  <c:v>130000</c:v>
                </c:pt>
                <c:pt idx="5">
                  <c:v>40000</c:v>
                </c:pt>
                <c:pt idx="6">
                  <c:v>80000</c:v>
                </c:pt>
                <c:pt idx="7">
                  <c:v>0</c:v>
                </c:pt>
                <c:pt idx="8">
                  <c:v>5200</c:v>
                </c:pt>
                <c:pt idx="9">
                  <c:v>42500</c:v>
                </c:pt>
                <c:pt idx="10">
                  <c:v>10000</c:v>
                </c:pt>
                <c:pt idx="11">
                  <c:v>55000</c:v>
                </c:pt>
                <c:pt idx="12">
                  <c:v>16500</c:v>
                </c:pt>
                <c:pt idx="13">
                  <c:v>55000</c:v>
                </c:pt>
                <c:pt idx="14">
                  <c:v>210000</c:v>
                </c:pt>
                <c:pt idx="15">
                  <c:v>170000</c:v>
                </c:pt>
                <c:pt idx="16">
                  <c:v>200000</c:v>
                </c:pt>
                <c:pt idx="17">
                  <c:v>112500</c:v>
                </c:pt>
                <c:pt idx="18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8-4BED-9CBD-524396E8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Costo promedio (COP)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Ítem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806440" cy="3444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2590800</xdr:colOff>
      <xdr:row>0</xdr:row>
      <xdr:rowOff>0</xdr:rowOff>
    </xdr:from>
    <xdr:ext cx="7886700" cy="156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topLeftCell="D1" workbookViewId="0">
      <selection activeCell="A16" sqref="A16"/>
    </sheetView>
  </sheetViews>
  <sheetFormatPr defaultRowHeight="14.4" x14ac:dyDescent="0.3"/>
  <cols>
    <col min="1" max="1" width="36" customWidth="1"/>
    <col min="2" max="2" width="20" customWidth="1"/>
    <col min="3" max="3" width="26" customWidth="1"/>
    <col min="4" max="4" width="20" customWidth="1"/>
    <col min="5" max="5" width="16" customWidth="1"/>
    <col min="6" max="6" width="34" customWidth="1"/>
    <col min="7" max="7" width="24" customWidth="1"/>
    <col min="8" max="8" width="34" customWidth="1"/>
  </cols>
  <sheetData>
    <row r="1" spans="1:8" ht="25.05" customHeight="1" x14ac:dyDescent="0.4">
      <c r="A1" s="44" t="s">
        <v>0</v>
      </c>
      <c r="B1" s="43"/>
      <c r="C1" s="43"/>
      <c r="D1" s="43"/>
      <c r="E1" s="43"/>
      <c r="F1" s="43"/>
      <c r="G1" s="43"/>
      <c r="H1" s="43"/>
    </row>
    <row r="2" spans="1:8" ht="25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</row>
    <row r="3" spans="1:8" ht="33.6" customHeight="1" x14ac:dyDescent="0.3">
      <c r="A3" s="2" t="s">
        <v>9</v>
      </c>
      <c r="B3" s="3">
        <f>'Costos Prototipo'!J26</f>
        <v>1701700</v>
      </c>
      <c r="C3" s="3">
        <f>'Costos Prototipo'!J28</f>
        <v>3063060</v>
      </c>
      <c r="D3" s="3">
        <f>C3-B3</f>
        <v>1361360</v>
      </c>
      <c r="E3" s="4">
        <f>D3/C3</f>
        <v>0.44444444444444442</v>
      </c>
      <c r="F3" s="2" t="s">
        <v>10</v>
      </c>
      <c r="G3" s="2" t="s">
        <v>11</v>
      </c>
    </row>
    <row r="4" spans="1:8" ht="28.8" customHeight="1" x14ac:dyDescent="0.3">
      <c r="A4" s="2" t="s">
        <v>12</v>
      </c>
      <c r="B4" s="3">
        <f>'Producto Industrial'!J26</f>
        <v>1726700</v>
      </c>
      <c r="C4" s="3">
        <f>'Producto Industrial'!J28</f>
        <v>3108060</v>
      </c>
      <c r="D4" s="3">
        <f>C4-B4</f>
        <v>1381360</v>
      </c>
      <c r="E4" s="4">
        <f>D4/C4</f>
        <v>0.44444444444444442</v>
      </c>
      <c r="F4" s="2" t="s">
        <v>13</v>
      </c>
      <c r="G4" s="2" t="s">
        <v>14</v>
      </c>
    </row>
    <row r="5" spans="1:8" ht="25.05" customHeight="1" x14ac:dyDescent="0.3">
      <c r="A5" s="47" t="s">
        <v>15</v>
      </c>
      <c r="B5" s="47"/>
    </row>
    <row r="6" spans="1:8" ht="25.05" customHeight="1" x14ac:dyDescent="0.3">
      <c r="A6" s="6" t="s">
        <v>16</v>
      </c>
      <c r="B6" s="7">
        <f>B4-B3</f>
        <v>25000</v>
      </c>
    </row>
    <row r="7" spans="1:8" ht="25.05" customHeight="1" x14ac:dyDescent="0.3">
      <c r="A7" s="6" t="s">
        <v>17</v>
      </c>
      <c r="B7" s="8">
        <f>B4/B3-1</f>
        <v>1.4691191161779305E-2</v>
      </c>
    </row>
    <row r="8" spans="1:8" ht="25.05" customHeight="1" x14ac:dyDescent="0.3">
      <c r="A8" s="6" t="s">
        <v>18</v>
      </c>
      <c r="B8" s="7">
        <f>C3</f>
        <v>3063060</v>
      </c>
    </row>
    <row r="9" spans="1:8" ht="25.05" customHeight="1" x14ac:dyDescent="0.3">
      <c r="A9" s="6" t="s">
        <v>19</v>
      </c>
      <c r="B9" s="7">
        <f>C4</f>
        <v>3108060</v>
      </c>
    </row>
    <row r="10" spans="1:8" ht="25.05" customHeight="1" x14ac:dyDescent="0.3">
      <c r="A10" s="6" t="s">
        <v>114</v>
      </c>
      <c r="B10" s="8">
        <f>80%</f>
        <v>0.8</v>
      </c>
    </row>
    <row r="11" spans="1:8" ht="25.05" customHeight="1" x14ac:dyDescent="0.3">
      <c r="A11" s="46" t="s">
        <v>20</v>
      </c>
      <c r="B11" s="46"/>
      <c r="C11" s="46"/>
      <c r="D11" s="46"/>
      <c r="E11" s="46"/>
      <c r="F11" s="46"/>
      <c r="G11" s="46"/>
      <c r="H11" s="46"/>
    </row>
    <row r="12" spans="1:8" ht="25.05" customHeight="1" x14ac:dyDescent="0.3">
      <c r="A12" s="42" t="s">
        <v>21</v>
      </c>
      <c r="B12" s="48"/>
      <c r="C12" s="48"/>
      <c r="D12" s="48"/>
      <c r="E12" s="48"/>
      <c r="F12" s="48"/>
      <c r="G12" s="48"/>
      <c r="H12" s="48"/>
    </row>
    <row r="13" spans="1:8" ht="25.05" customHeight="1" x14ac:dyDescent="0.3">
      <c r="A13" s="48"/>
      <c r="B13" s="48"/>
      <c r="C13" s="48"/>
      <c r="D13" s="48"/>
      <c r="E13" s="48"/>
      <c r="F13" s="48"/>
      <c r="G13" s="48"/>
      <c r="H13" s="48"/>
    </row>
    <row r="14" spans="1:8" ht="25.05" customHeight="1" x14ac:dyDescent="0.3">
      <c r="A14" s="48"/>
      <c r="B14" s="48"/>
      <c r="C14" s="48"/>
      <c r="D14" s="48"/>
      <c r="E14" s="48"/>
      <c r="F14" s="48"/>
      <c r="G14" s="48"/>
      <c r="H14" s="48"/>
    </row>
    <row r="15" spans="1:8" ht="25.05" customHeight="1" x14ac:dyDescent="0.3"/>
    <row r="16" spans="1:8" ht="25.05" customHeight="1" x14ac:dyDescent="0.3"/>
    <row r="17" ht="25.05" customHeight="1" x14ac:dyDescent="0.3"/>
    <row r="18" ht="25.05" customHeight="1" x14ac:dyDescent="0.3"/>
  </sheetData>
  <mergeCells count="4">
    <mergeCell ref="A12:H14"/>
    <mergeCell ref="A1:H1"/>
    <mergeCell ref="A5:B5"/>
    <mergeCell ref="A11:H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showGridLines="0" topLeftCell="C1" workbookViewId="0">
      <pane ySplit="6" topLeftCell="A19" activePane="bottomLeft" state="frozen"/>
      <selection pane="bottomLeft" activeCell="E24" sqref="E24"/>
    </sheetView>
  </sheetViews>
  <sheetFormatPr defaultRowHeight="14.4" x14ac:dyDescent="0.3"/>
  <cols>
    <col min="1" max="1" width="18" customWidth="1"/>
    <col min="2" max="2" width="34" customWidth="1"/>
    <col min="3" max="3" width="28" customWidth="1"/>
    <col min="4" max="4" width="18" customWidth="1"/>
    <col min="5" max="5" width="10" customWidth="1"/>
    <col min="6" max="6" width="12" customWidth="1"/>
    <col min="7" max="8" width="18" customWidth="1"/>
    <col min="9" max="9" width="20" customWidth="1"/>
    <col min="10" max="10" width="18" customWidth="1"/>
    <col min="11" max="11" width="14" customWidth="1"/>
    <col min="12" max="12" width="38" customWidth="1"/>
  </cols>
  <sheetData>
    <row r="1" spans="1:12" ht="22.05" customHeight="1" x14ac:dyDescent="0.4">
      <c r="A1" s="44" t="s">
        <v>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2.05" customHeight="1" x14ac:dyDescent="0.3"/>
    <row r="3" spans="1:12" ht="22.05" customHeight="1" x14ac:dyDescent="0.3">
      <c r="A3" s="9" t="s">
        <v>23</v>
      </c>
      <c r="B3" s="10">
        <v>0.8</v>
      </c>
    </row>
    <row r="4" spans="1:12" ht="22.05" customHeight="1" x14ac:dyDescent="0.3">
      <c r="A4" s="11" t="s">
        <v>24</v>
      </c>
    </row>
    <row r="5" spans="1:12" ht="22.05" customHeight="1" x14ac:dyDescent="0.3"/>
    <row r="6" spans="1:12" ht="28.8" customHeight="1" x14ac:dyDescent="0.3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</row>
    <row r="7" spans="1:12" ht="22.05" customHeight="1" x14ac:dyDescent="0.3">
      <c r="A7" s="13" t="s">
        <v>37</v>
      </c>
      <c r="B7" s="13" t="s">
        <v>38</v>
      </c>
      <c r="C7" s="13" t="s">
        <v>39</v>
      </c>
      <c r="D7" s="13" t="s">
        <v>40</v>
      </c>
      <c r="E7" s="14">
        <v>4</v>
      </c>
      <c r="F7" s="13" t="s">
        <v>41</v>
      </c>
      <c r="G7" s="15">
        <v>10000</v>
      </c>
      <c r="H7" s="15">
        <v>25000</v>
      </c>
      <c r="I7" s="15">
        <f t="shared" ref="I7:I25" si="0">AVERAGE(G7:H7)</f>
        <v>17500</v>
      </c>
      <c r="J7" s="15">
        <f t="shared" ref="J7:J25" si="1">E7*I7</f>
        <v>70000</v>
      </c>
      <c r="K7" s="16">
        <f t="shared" ref="K7:K25" si="2">J7/$J$26</f>
        <v>4.1135335252982311E-2</v>
      </c>
      <c r="L7" s="13" t="s">
        <v>42</v>
      </c>
    </row>
    <row r="8" spans="1:12" ht="22.05" customHeight="1" x14ac:dyDescent="0.3">
      <c r="A8" s="13" t="s">
        <v>37</v>
      </c>
      <c r="B8" s="13" t="s">
        <v>43</v>
      </c>
      <c r="C8" s="13" t="s">
        <v>39</v>
      </c>
      <c r="D8" s="13" t="s">
        <v>40</v>
      </c>
      <c r="E8" s="14">
        <v>4</v>
      </c>
      <c r="F8" s="13" t="s">
        <v>41</v>
      </c>
      <c r="G8" s="15">
        <v>15000</v>
      </c>
      <c r="H8" s="15">
        <v>40000</v>
      </c>
      <c r="I8" s="15">
        <f t="shared" si="0"/>
        <v>27500</v>
      </c>
      <c r="J8" s="15">
        <f t="shared" si="1"/>
        <v>110000</v>
      </c>
      <c r="K8" s="16">
        <f t="shared" si="2"/>
        <v>6.4641241111829353E-2</v>
      </c>
      <c r="L8" s="13" t="s">
        <v>44</v>
      </c>
    </row>
    <row r="9" spans="1:12" ht="22.05" customHeight="1" x14ac:dyDescent="0.3">
      <c r="A9" s="13" t="s">
        <v>37</v>
      </c>
      <c r="B9" s="13" t="s">
        <v>45</v>
      </c>
      <c r="C9" s="13" t="s">
        <v>39</v>
      </c>
      <c r="D9" s="13" t="s">
        <v>40</v>
      </c>
      <c r="E9" s="14">
        <v>1</v>
      </c>
      <c r="F9" s="13" t="s">
        <v>41</v>
      </c>
      <c r="G9" s="15">
        <v>200000</v>
      </c>
      <c r="H9" s="15">
        <v>450000</v>
      </c>
      <c r="I9" s="15">
        <f t="shared" si="0"/>
        <v>325000</v>
      </c>
      <c r="J9" s="15">
        <f t="shared" si="1"/>
        <v>325000</v>
      </c>
      <c r="K9" s="16">
        <f t="shared" si="2"/>
        <v>0.19098548510313215</v>
      </c>
      <c r="L9" s="13"/>
    </row>
    <row r="10" spans="1:12" ht="22.05" customHeight="1" x14ac:dyDescent="0.3">
      <c r="A10" s="13" t="s">
        <v>37</v>
      </c>
      <c r="B10" s="13" t="s">
        <v>46</v>
      </c>
      <c r="C10" s="13" t="s">
        <v>47</v>
      </c>
      <c r="D10" s="13" t="s">
        <v>40</v>
      </c>
      <c r="E10" s="14">
        <v>2</v>
      </c>
      <c r="F10" s="13" t="s">
        <v>48</v>
      </c>
      <c r="G10" s="15">
        <v>3000</v>
      </c>
      <c r="H10" s="15">
        <v>7000</v>
      </c>
      <c r="I10" s="15">
        <f t="shared" si="0"/>
        <v>5000</v>
      </c>
      <c r="J10" s="15">
        <f t="shared" si="1"/>
        <v>10000</v>
      </c>
      <c r="K10" s="16">
        <f t="shared" si="2"/>
        <v>5.8764764647117589E-3</v>
      </c>
      <c r="L10" s="13" t="s">
        <v>49</v>
      </c>
    </row>
    <row r="11" spans="1:12" ht="22.05" customHeight="1" x14ac:dyDescent="0.3">
      <c r="A11" s="13" t="s">
        <v>37</v>
      </c>
      <c r="B11" s="13" t="s">
        <v>50</v>
      </c>
      <c r="C11" s="13" t="s">
        <v>39</v>
      </c>
      <c r="D11" s="13" t="s">
        <v>40</v>
      </c>
      <c r="E11" s="14">
        <v>1</v>
      </c>
      <c r="F11" s="13" t="s">
        <v>41</v>
      </c>
      <c r="G11" s="15">
        <v>80000</v>
      </c>
      <c r="H11" s="15">
        <v>180000</v>
      </c>
      <c r="I11" s="15">
        <f t="shared" si="0"/>
        <v>130000</v>
      </c>
      <c r="J11" s="15">
        <f t="shared" si="1"/>
        <v>130000</v>
      </c>
      <c r="K11" s="16">
        <f t="shared" si="2"/>
        <v>7.6394194041252861E-2</v>
      </c>
      <c r="L11" s="13"/>
    </row>
    <row r="12" spans="1:12" ht="22.05" customHeight="1" x14ac:dyDescent="0.3">
      <c r="A12" s="13" t="s">
        <v>37</v>
      </c>
      <c r="B12" s="13" t="s">
        <v>51</v>
      </c>
      <c r="C12" s="13" t="s">
        <v>39</v>
      </c>
      <c r="D12" s="13" t="s">
        <v>40</v>
      </c>
      <c r="E12" s="14">
        <v>1</v>
      </c>
      <c r="F12" s="13" t="s">
        <v>41</v>
      </c>
      <c r="G12" s="15">
        <v>20000</v>
      </c>
      <c r="H12" s="15">
        <v>60000</v>
      </c>
      <c r="I12" s="15">
        <f t="shared" si="0"/>
        <v>40000</v>
      </c>
      <c r="J12" s="15">
        <f t="shared" si="1"/>
        <v>40000</v>
      </c>
      <c r="K12" s="16">
        <f t="shared" si="2"/>
        <v>2.3505905858847036E-2</v>
      </c>
      <c r="L12" s="13"/>
    </row>
    <row r="13" spans="1:12" ht="22.05" customHeight="1" x14ac:dyDescent="0.3">
      <c r="A13" s="13" t="s">
        <v>37</v>
      </c>
      <c r="B13" s="13" t="s">
        <v>52</v>
      </c>
      <c r="C13" s="13" t="s">
        <v>39</v>
      </c>
      <c r="D13" s="13" t="s">
        <v>40</v>
      </c>
      <c r="E13" s="14">
        <v>1</v>
      </c>
      <c r="F13" s="13" t="s">
        <v>41</v>
      </c>
      <c r="G13" s="15">
        <v>40000</v>
      </c>
      <c r="H13" s="15">
        <v>120000</v>
      </c>
      <c r="I13" s="15">
        <f t="shared" si="0"/>
        <v>80000</v>
      </c>
      <c r="J13" s="15">
        <f t="shared" si="1"/>
        <v>80000</v>
      </c>
      <c r="K13" s="16">
        <f t="shared" si="2"/>
        <v>4.7011811717694071E-2</v>
      </c>
      <c r="L13" s="13"/>
    </row>
    <row r="14" spans="1:12" ht="50.4" customHeight="1" x14ac:dyDescent="0.3">
      <c r="A14" s="13" t="s">
        <v>37</v>
      </c>
      <c r="B14" s="13" t="s">
        <v>53</v>
      </c>
      <c r="C14" s="13" t="s">
        <v>54</v>
      </c>
      <c r="D14" s="13" t="s">
        <v>55</v>
      </c>
      <c r="E14" s="14">
        <v>1</v>
      </c>
      <c r="F14" s="13" t="s">
        <v>41</v>
      </c>
      <c r="G14" s="15">
        <v>0</v>
      </c>
      <c r="H14" s="15">
        <v>0</v>
      </c>
      <c r="I14" s="15">
        <f t="shared" si="0"/>
        <v>0</v>
      </c>
      <c r="J14" s="15">
        <f t="shared" si="1"/>
        <v>0</v>
      </c>
      <c r="K14" s="16">
        <f t="shared" si="2"/>
        <v>0</v>
      </c>
      <c r="L14" s="13" t="s">
        <v>56</v>
      </c>
    </row>
    <row r="15" spans="1:12" ht="33" customHeight="1" x14ac:dyDescent="0.3">
      <c r="A15" s="17" t="s">
        <v>57</v>
      </c>
      <c r="B15" s="17" t="s">
        <v>58</v>
      </c>
      <c r="C15" s="17" t="s">
        <v>59</v>
      </c>
      <c r="D15" s="17" t="s">
        <v>60</v>
      </c>
      <c r="E15" s="18">
        <v>8</v>
      </c>
      <c r="F15" s="17" t="s">
        <v>41</v>
      </c>
      <c r="G15" s="19">
        <v>300</v>
      </c>
      <c r="H15" s="19">
        <v>1000</v>
      </c>
      <c r="I15" s="19">
        <f t="shared" si="0"/>
        <v>650</v>
      </c>
      <c r="J15" s="19">
        <f t="shared" si="1"/>
        <v>5200</v>
      </c>
      <c r="K15" s="20">
        <f t="shared" si="2"/>
        <v>3.0557677616501145E-3</v>
      </c>
      <c r="L15" s="17" t="s">
        <v>61</v>
      </c>
    </row>
    <row r="16" spans="1:12" ht="22.05" customHeight="1" x14ac:dyDescent="0.3">
      <c r="A16" s="21" t="s">
        <v>62</v>
      </c>
      <c r="B16" s="21" t="s">
        <v>63</v>
      </c>
      <c r="C16" s="21" t="s">
        <v>64</v>
      </c>
      <c r="D16" s="21" t="s">
        <v>60</v>
      </c>
      <c r="E16" s="22">
        <v>1</v>
      </c>
      <c r="F16" s="21" t="s">
        <v>41</v>
      </c>
      <c r="G16" s="23">
        <v>25000</v>
      </c>
      <c r="H16" s="23">
        <v>60000</v>
      </c>
      <c r="I16" s="23">
        <f t="shared" si="0"/>
        <v>42500</v>
      </c>
      <c r="J16" s="23">
        <f t="shared" si="1"/>
        <v>42500</v>
      </c>
      <c r="K16" s="24">
        <f t="shared" si="2"/>
        <v>2.4975024975024976E-2</v>
      </c>
      <c r="L16" s="21"/>
    </row>
    <row r="17" spans="1:12" ht="22.05" customHeight="1" x14ac:dyDescent="0.3">
      <c r="A17" s="21" t="s">
        <v>62</v>
      </c>
      <c r="B17" s="21" t="s">
        <v>65</v>
      </c>
      <c r="C17" s="21" t="s">
        <v>64</v>
      </c>
      <c r="D17" s="21" t="s">
        <v>60</v>
      </c>
      <c r="E17" s="22">
        <v>1</v>
      </c>
      <c r="F17" s="21" t="s">
        <v>41</v>
      </c>
      <c r="G17" s="23">
        <v>5000</v>
      </c>
      <c r="H17" s="23">
        <v>15000</v>
      </c>
      <c r="I17" s="23">
        <f t="shared" si="0"/>
        <v>10000</v>
      </c>
      <c r="J17" s="23">
        <f t="shared" si="1"/>
        <v>10000</v>
      </c>
      <c r="K17" s="24">
        <f t="shared" si="2"/>
        <v>5.8764764647117589E-3</v>
      </c>
      <c r="L17" s="21"/>
    </row>
    <row r="18" spans="1:12" ht="22.05" customHeight="1" x14ac:dyDescent="0.3">
      <c r="A18" s="21" t="s">
        <v>62</v>
      </c>
      <c r="B18" s="21" t="s">
        <v>66</v>
      </c>
      <c r="C18" s="21" t="s">
        <v>64</v>
      </c>
      <c r="D18" s="21" t="s">
        <v>60</v>
      </c>
      <c r="E18" s="22">
        <v>1</v>
      </c>
      <c r="F18" s="21" t="s">
        <v>41</v>
      </c>
      <c r="G18" s="23">
        <v>30000</v>
      </c>
      <c r="H18" s="23">
        <v>80000</v>
      </c>
      <c r="I18" s="23">
        <f t="shared" si="0"/>
        <v>55000</v>
      </c>
      <c r="J18" s="23">
        <f t="shared" si="1"/>
        <v>55000</v>
      </c>
      <c r="K18" s="24">
        <f t="shared" si="2"/>
        <v>3.2320620555914677E-2</v>
      </c>
      <c r="L18" s="21"/>
    </row>
    <row r="19" spans="1:12" ht="22.05" customHeight="1" x14ac:dyDescent="0.3">
      <c r="A19" s="21" t="s">
        <v>62</v>
      </c>
      <c r="B19" s="21" t="s">
        <v>67</v>
      </c>
      <c r="C19" s="21" t="s">
        <v>64</v>
      </c>
      <c r="D19" s="21" t="s">
        <v>60</v>
      </c>
      <c r="E19" s="22">
        <v>1</v>
      </c>
      <c r="F19" s="21" t="s">
        <v>41</v>
      </c>
      <c r="G19" s="23">
        <v>8000</v>
      </c>
      <c r="H19" s="23">
        <v>25000</v>
      </c>
      <c r="I19" s="23">
        <f t="shared" si="0"/>
        <v>16500</v>
      </c>
      <c r="J19" s="23">
        <f t="shared" si="1"/>
        <v>16500</v>
      </c>
      <c r="K19" s="24">
        <f t="shared" si="2"/>
        <v>9.6961861667744023E-3</v>
      </c>
      <c r="L19" s="21"/>
    </row>
    <row r="20" spans="1:12" ht="33.6" customHeight="1" x14ac:dyDescent="0.3">
      <c r="A20" s="25" t="s">
        <v>68</v>
      </c>
      <c r="B20" s="25" t="s">
        <v>69</v>
      </c>
      <c r="C20" s="25" t="s">
        <v>70</v>
      </c>
      <c r="D20" s="25" t="s">
        <v>40</v>
      </c>
      <c r="E20" s="26">
        <v>0.5</v>
      </c>
      <c r="F20" s="25" t="s">
        <v>71</v>
      </c>
      <c r="G20" s="27">
        <v>120000</v>
      </c>
      <c r="H20" s="27">
        <v>250000</v>
      </c>
      <c r="I20" s="27">
        <f t="shared" si="0"/>
        <v>185000</v>
      </c>
      <c r="J20" s="27">
        <f t="shared" si="1"/>
        <v>92500</v>
      </c>
      <c r="K20" s="28">
        <f t="shared" si="2"/>
        <v>5.4357407298583772E-2</v>
      </c>
      <c r="L20" s="25" t="s">
        <v>72</v>
      </c>
    </row>
    <row r="21" spans="1:12" ht="22.05" customHeight="1" x14ac:dyDescent="0.3">
      <c r="A21" s="21" t="s">
        <v>62</v>
      </c>
      <c r="B21" s="21" t="s">
        <v>73</v>
      </c>
      <c r="C21" s="21" t="s">
        <v>64</v>
      </c>
      <c r="D21" s="21" t="s">
        <v>60</v>
      </c>
      <c r="E21" s="22">
        <v>1</v>
      </c>
      <c r="F21" s="21" t="s">
        <v>41</v>
      </c>
      <c r="G21" s="23">
        <v>20000</v>
      </c>
      <c r="H21" s="23">
        <v>60000</v>
      </c>
      <c r="I21" s="23">
        <f t="shared" si="0"/>
        <v>40000</v>
      </c>
      <c r="J21" s="23">
        <f t="shared" si="1"/>
        <v>40000</v>
      </c>
      <c r="K21" s="24">
        <f t="shared" si="2"/>
        <v>2.3505905858847036E-2</v>
      </c>
      <c r="L21" s="21"/>
    </row>
    <row r="22" spans="1:12" ht="22.05" customHeight="1" x14ac:dyDescent="0.3">
      <c r="A22" s="29" t="s">
        <v>74</v>
      </c>
      <c r="B22" s="29" t="s">
        <v>75</v>
      </c>
      <c r="C22" s="29" t="s">
        <v>76</v>
      </c>
      <c r="D22" s="29" t="s">
        <v>77</v>
      </c>
      <c r="E22" s="30">
        <v>12</v>
      </c>
      <c r="F22" s="29" t="s">
        <v>78</v>
      </c>
      <c r="G22" s="31">
        <v>25000</v>
      </c>
      <c r="H22" s="31">
        <v>35000</v>
      </c>
      <c r="I22" s="31">
        <f t="shared" si="0"/>
        <v>30000</v>
      </c>
      <c r="J22" s="31">
        <f t="shared" si="1"/>
        <v>360000</v>
      </c>
      <c r="K22" s="32">
        <f t="shared" si="2"/>
        <v>0.21155315272962333</v>
      </c>
      <c r="L22" s="29"/>
    </row>
    <row r="23" spans="1:12" ht="22.05" customHeight="1" x14ac:dyDescent="0.3">
      <c r="A23" s="29" t="s">
        <v>74</v>
      </c>
      <c r="B23" s="29" t="s">
        <v>79</v>
      </c>
      <c r="C23" s="29" t="s">
        <v>80</v>
      </c>
      <c r="D23" s="29" t="s">
        <v>77</v>
      </c>
      <c r="E23" s="30">
        <v>5</v>
      </c>
      <c r="F23" s="29" t="s">
        <v>78</v>
      </c>
      <c r="G23" s="31">
        <v>25000</v>
      </c>
      <c r="H23" s="31">
        <v>35000</v>
      </c>
      <c r="I23" s="31">
        <f t="shared" si="0"/>
        <v>30000</v>
      </c>
      <c r="J23" s="31">
        <f t="shared" si="1"/>
        <v>150000</v>
      </c>
      <c r="K23" s="32">
        <f t="shared" si="2"/>
        <v>8.8147146970676382E-2</v>
      </c>
      <c r="L23" s="29"/>
    </row>
    <row r="24" spans="1:12" ht="22.05" customHeight="1" x14ac:dyDescent="0.3">
      <c r="A24" s="29" t="s">
        <v>74</v>
      </c>
      <c r="B24" s="29" t="s">
        <v>81</v>
      </c>
      <c r="C24" s="29" t="s">
        <v>80</v>
      </c>
      <c r="D24" s="29" t="s">
        <v>77</v>
      </c>
      <c r="E24" s="30">
        <v>3</v>
      </c>
      <c r="F24" s="29" t="s">
        <v>78</v>
      </c>
      <c r="G24" s="31">
        <v>20000</v>
      </c>
      <c r="H24" s="31">
        <v>30000</v>
      </c>
      <c r="I24" s="31">
        <f t="shared" si="0"/>
        <v>25000</v>
      </c>
      <c r="J24" s="31">
        <f t="shared" si="1"/>
        <v>75000</v>
      </c>
      <c r="K24" s="32">
        <f t="shared" si="2"/>
        <v>4.4073573485338191E-2</v>
      </c>
      <c r="L24" s="29"/>
    </row>
    <row r="25" spans="1:12" ht="22.05" customHeight="1" x14ac:dyDescent="0.3">
      <c r="A25" s="29" t="s">
        <v>74</v>
      </c>
      <c r="B25" s="29" t="s">
        <v>82</v>
      </c>
      <c r="C25" s="29" t="s">
        <v>80</v>
      </c>
      <c r="D25" s="29" t="s">
        <v>77</v>
      </c>
      <c r="E25" s="30">
        <v>3</v>
      </c>
      <c r="F25" s="29" t="s">
        <v>78</v>
      </c>
      <c r="G25" s="31">
        <v>25000</v>
      </c>
      <c r="H25" s="31">
        <v>35000</v>
      </c>
      <c r="I25" s="31">
        <f t="shared" si="0"/>
        <v>30000</v>
      </c>
      <c r="J25" s="31">
        <f t="shared" si="1"/>
        <v>90000</v>
      </c>
      <c r="K25" s="32">
        <f t="shared" si="2"/>
        <v>5.2888288182405832E-2</v>
      </c>
      <c r="L25" s="29"/>
    </row>
    <row r="26" spans="1:12" x14ac:dyDescent="0.3">
      <c r="A26" s="33"/>
      <c r="B26" s="33"/>
      <c r="C26" s="33"/>
      <c r="D26" s="33"/>
      <c r="E26" s="33"/>
      <c r="F26" s="33"/>
      <c r="G26" s="34"/>
      <c r="H26" s="34"/>
      <c r="I26" s="34" t="s">
        <v>83</v>
      </c>
      <c r="J26" s="34">
        <f>SUM(J7:J25)</f>
        <v>1701700</v>
      </c>
      <c r="K26" s="35" t="s">
        <v>84</v>
      </c>
      <c r="L26" s="33"/>
    </row>
    <row r="27" spans="1:12" x14ac:dyDescent="0.3">
      <c r="G27" s="36"/>
      <c r="H27" s="36"/>
      <c r="I27" s="36"/>
      <c r="J27" s="36"/>
      <c r="K27" s="37"/>
    </row>
    <row r="28" spans="1:12" x14ac:dyDescent="0.3">
      <c r="G28" s="36"/>
      <c r="H28" s="36"/>
      <c r="I28" s="38" t="s">
        <v>85</v>
      </c>
      <c r="J28" s="7">
        <f>J26*(1+$B$3)</f>
        <v>3063060</v>
      </c>
      <c r="K28" s="37"/>
    </row>
    <row r="29" spans="1:12" x14ac:dyDescent="0.3">
      <c r="G29" s="36"/>
      <c r="H29" s="36"/>
      <c r="I29" s="38" t="s">
        <v>86</v>
      </c>
      <c r="J29" s="7">
        <f>J28-J26</f>
        <v>1361360</v>
      </c>
      <c r="K29" s="37"/>
    </row>
    <row r="30" spans="1:12" x14ac:dyDescent="0.3">
      <c r="G30" s="36"/>
      <c r="H30" s="36"/>
      <c r="I30" s="38" t="s">
        <v>87</v>
      </c>
      <c r="J30" s="8">
        <f>J29/J28</f>
        <v>0.44444444444444442</v>
      </c>
      <c r="K30" s="37"/>
    </row>
    <row r="31" spans="1:12" x14ac:dyDescent="0.3">
      <c r="G31" s="36"/>
      <c r="H31" s="36"/>
      <c r="I31" s="36"/>
      <c r="J31" s="36"/>
      <c r="K31" s="37"/>
    </row>
    <row r="32" spans="1:12" x14ac:dyDescent="0.3">
      <c r="A32" s="5" t="s">
        <v>88</v>
      </c>
      <c r="G32" s="36"/>
      <c r="H32" s="36"/>
      <c r="I32" s="36"/>
      <c r="J32" s="36"/>
      <c r="K32" s="37"/>
    </row>
    <row r="33" spans="1:11" x14ac:dyDescent="0.3">
      <c r="A33" s="39" t="s">
        <v>89</v>
      </c>
      <c r="B33" s="39" t="s">
        <v>90</v>
      </c>
      <c r="C33" s="39" t="s">
        <v>91</v>
      </c>
      <c r="G33" s="36"/>
      <c r="H33" s="36"/>
      <c r="I33" s="36"/>
      <c r="J33" s="36"/>
      <c r="K33" s="37"/>
    </row>
    <row r="34" spans="1:11" x14ac:dyDescent="0.3">
      <c r="A34" s="40" t="s">
        <v>37</v>
      </c>
      <c r="B34" s="40">
        <f>SUMIF(A7:A25,A34,J7:J25)</f>
        <v>765000</v>
      </c>
      <c r="C34" s="40">
        <f>B34/$J$26</f>
        <v>0.44955044955044954</v>
      </c>
      <c r="G34" s="36"/>
      <c r="H34" s="36"/>
      <c r="I34" s="36"/>
      <c r="J34" s="36"/>
      <c r="K34" s="37"/>
    </row>
    <row r="35" spans="1:11" x14ac:dyDescent="0.3">
      <c r="A35" s="40" t="s">
        <v>57</v>
      </c>
      <c r="B35" s="40">
        <f>SUMIF(A7:A25,A35,J7:J25)</f>
        <v>5200</v>
      </c>
      <c r="C35" s="40">
        <f>B35/$J$26</f>
        <v>3.0557677616501145E-3</v>
      </c>
      <c r="G35" s="36"/>
      <c r="H35" s="36"/>
      <c r="I35" s="36"/>
      <c r="J35" s="36"/>
      <c r="K35" s="37"/>
    </row>
    <row r="36" spans="1:11" x14ac:dyDescent="0.3">
      <c r="A36" s="40" t="s">
        <v>68</v>
      </c>
      <c r="B36" s="40">
        <f>SUMIF(A7:A25,A36,J7:J25)</f>
        <v>92500</v>
      </c>
      <c r="C36" s="40">
        <f>B36/$J$26</f>
        <v>5.4357407298583772E-2</v>
      </c>
      <c r="G36" s="36"/>
      <c r="H36" s="36"/>
      <c r="I36" s="36"/>
      <c r="J36" s="36"/>
      <c r="K36" s="37"/>
    </row>
    <row r="37" spans="1:11" x14ac:dyDescent="0.3">
      <c r="A37" s="40" t="s">
        <v>62</v>
      </c>
      <c r="B37" s="40">
        <f>SUMIF(A7:A25,A37,J7:J25)</f>
        <v>164000</v>
      </c>
      <c r="C37" s="40">
        <f>B37/$J$26</f>
        <v>9.6374214021272844E-2</v>
      </c>
      <c r="G37" s="36"/>
      <c r="H37" s="36"/>
      <c r="I37" s="36"/>
      <c r="J37" s="36"/>
      <c r="K37" s="37"/>
    </row>
    <row r="38" spans="1:11" x14ac:dyDescent="0.3">
      <c r="A38" s="40" t="s">
        <v>74</v>
      </c>
      <c r="B38" s="40">
        <f>SUMIF(A7:A25,A38,J7:J25)</f>
        <v>675000</v>
      </c>
      <c r="C38" s="40">
        <f>B38/$J$26</f>
        <v>0.39666216136804372</v>
      </c>
      <c r="G38" s="36"/>
      <c r="H38" s="36"/>
      <c r="I38" s="36"/>
      <c r="J38" s="36"/>
      <c r="K38" s="37"/>
    </row>
  </sheetData>
  <autoFilter ref="A6:L25" xr:uid="{00000000-0009-0000-0000-000001000000}"/>
  <mergeCells count="1">
    <mergeCell ref="A1:L1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showGridLines="0" topLeftCell="H1" workbookViewId="0">
      <pane ySplit="6" topLeftCell="A15" activePane="bottomLeft" state="frozen"/>
      <selection pane="bottomLeft" activeCell="R16" sqref="R16"/>
    </sheetView>
  </sheetViews>
  <sheetFormatPr defaultRowHeight="14.4" x14ac:dyDescent="0.3"/>
  <cols>
    <col min="1" max="1" width="18" customWidth="1"/>
    <col min="2" max="2" width="34" customWidth="1"/>
    <col min="3" max="3" width="28" customWidth="1"/>
    <col min="4" max="4" width="18" customWidth="1"/>
    <col min="5" max="5" width="10" customWidth="1"/>
    <col min="6" max="6" width="12" customWidth="1"/>
    <col min="7" max="8" width="18" customWidth="1"/>
    <col min="9" max="9" width="20" customWidth="1"/>
    <col min="10" max="10" width="18" customWidth="1"/>
    <col min="11" max="11" width="14" customWidth="1"/>
    <col min="12" max="12" width="38" customWidth="1"/>
  </cols>
  <sheetData>
    <row r="1" spans="1:12" ht="22.05" customHeight="1" x14ac:dyDescent="0.4">
      <c r="A1" s="44" t="s">
        <v>92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22.05" customHeight="1" x14ac:dyDescent="0.3"/>
    <row r="3" spans="1:12" ht="22.05" customHeight="1" x14ac:dyDescent="0.3">
      <c r="A3" s="9" t="s">
        <v>23</v>
      </c>
      <c r="B3" s="10">
        <v>0.8</v>
      </c>
    </row>
    <row r="4" spans="1:12" ht="22.05" customHeight="1" x14ac:dyDescent="0.3">
      <c r="A4" s="11" t="s">
        <v>24</v>
      </c>
    </row>
    <row r="5" spans="1:12" ht="22.05" customHeight="1" x14ac:dyDescent="0.3"/>
    <row r="6" spans="1:12" ht="22.05" customHeight="1" x14ac:dyDescent="0.3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</row>
    <row r="7" spans="1:12" ht="22.05" customHeight="1" x14ac:dyDescent="0.3">
      <c r="A7" s="13" t="s">
        <v>37</v>
      </c>
      <c r="B7" s="13" t="s">
        <v>38</v>
      </c>
      <c r="C7" s="13" t="s">
        <v>39</v>
      </c>
      <c r="D7" s="13" t="s">
        <v>40</v>
      </c>
      <c r="E7" s="14">
        <v>4</v>
      </c>
      <c r="F7" s="13" t="s">
        <v>41</v>
      </c>
      <c r="G7" s="15">
        <v>10000</v>
      </c>
      <c r="H7" s="15">
        <v>25000</v>
      </c>
      <c r="I7" s="15">
        <f t="shared" ref="I7:I25" si="0">AVERAGE(G7:H7)</f>
        <v>17500</v>
      </c>
      <c r="J7" s="15">
        <f t="shared" ref="J7:J25" si="1">E7*I7</f>
        <v>70000</v>
      </c>
      <c r="K7" s="16">
        <f t="shared" ref="K7:K25" si="2">J7/$J$26</f>
        <v>4.053975791973128E-2</v>
      </c>
      <c r="L7" s="13" t="s">
        <v>42</v>
      </c>
    </row>
    <row r="8" spans="1:12" ht="22.05" customHeight="1" x14ac:dyDescent="0.3">
      <c r="A8" s="13" t="s">
        <v>37</v>
      </c>
      <c r="B8" s="13" t="s">
        <v>43</v>
      </c>
      <c r="C8" s="13" t="s">
        <v>39</v>
      </c>
      <c r="D8" s="13" t="s">
        <v>40</v>
      </c>
      <c r="E8" s="14">
        <v>4</v>
      </c>
      <c r="F8" s="13" t="s">
        <v>41</v>
      </c>
      <c r="G8" s="15">
        <v>15000</v>
      </c>
      <c r="H8" s="15">
        <v>40000</v>
      </c>
      <c r="I8" s="15">
        <f t="shared" si="0"/>
        <v>27500</v>
      </c>
      <c r="J8" s="15">
        <f t="shared" si="1"/>
        <v>110000</v>
      </c>
      <c r="K8" s="16">
        <f t="shared" si="2"/>
        <v>6.3705333873863443E-2</v>
      </c>
      <c r="L8" s="13" t="s">
        <v>44</v>
      </c>
    </row>
    <row r="9" spans="1:12" ht="22.05" customHeight="1" x14ac:dyDescent="0.3">
      <c r="A9" s="13" t="s">
        <v>37</v>
      </c>
      <c r="B9" s="13" t="s">
        <v>45</v>
      </c>
      <c r="C9" s="13" t="s">
        <v>39</v>
      </c>
      <c r="D9" s="13" t="s">
        <v>40</v>
      </c>
      <c r="E9" s="14">
        <v>1</v>
      </c>
      <c r="F9" s="13" t="s">
        <v>41</v>
      </c>
      <c r="G9" s="15">
        <v>200000</v>
      </c>
      <c r="H9" s="15">
        <v>450000</v>
      </c>
      <c r="I9" s="15">
        <f t="shared" si="0"/>
        <v>325000</v>
      </c>
      <c r="J9" s="15">
        <f t="shared" si="1"/>
        <v>325000</v>
      </c>
      <c r="K9" s="16">
        <f t="shared" si="2"/>
        <v>0.18822030462732381</v>
      </c>
      <c r="L9" s="13"/>
    </row>
    <row r="10" spans="1:12" ht="22.05" customHeight="1" x14ac:dyDescent="0.3">
      <c r="A10" s="13" t="s">
        <v>37</v>
      </c>
      <c r="B10" s="13" t="s">
        <v>46</v>
      </c>
      <c r="C10" s="13" t="s">
        <v>47</v>
      </c>
      <c r="D10" s="13" t="s">
        <v>40</v>
      </c>
      <c r="E10" s="14">
        <v>2</v>
      </c>
      <c r="F10" s="13" t="s">
        <v>48</v>
      </c>
      <c r="G10" s="15">
        <v>3000</v>
      </c>
      <c r="H10" s="15">
        <v>7000</v>
      </c>
      <c r="I10" s="15">
        <f t="shared" si="0"/>
        <v>5000</v>
      </c>
      <c r="J10" s="15">
        <f t="shared" si="1"/>
        <v>10000</v>
      </c>
      <c r="K10" s="16">
        <f t="shared" si="2"/>
        <v>5.7913939885330399E-3</v>
      </c>
      <c r="L10" s="13" t="s">
        <v>49</v>
      </c>
    </row>
    <row r="11" spans="1:12" ht="22.05" customHeight="1" x14ac:dyDescent="0.3">
      <c r="A11" s="13" t="s">
        <v>37</v>
      </c>
      <c r="B11" s="13" t="s">
        <v>50</v>
      </c>
      <c r="C11" s="13" t="s">
        <v>39</v>
      </c>
      <c r="D11" s="13" t="s">
        <v>40</v>
      </c>
      <c r="E11" s="14">
        <v>1</v>
      </c>
      <c r="F11" s="13" t="s">
        <v>41</v>
      </c>
      <c r="G11" s="15">
        <v>80000</v>
      </c>
      <c r="H11" s="15">
        <v>180000</v>
      </c>
      <c r="I11" s="15">
        <f t="shared" si="0"/>
        <v>130000</v>
      </c>
      <c r="J11" s="15">
        <f t="shared" si="1"/>
        <v>130000</v>
      </c>
      <c r="K11" s="16">
        <f t="shared" si="2"/>
        <v>7.5288121850929521E-2</v>
      </c>
      <c r="L11" s="13"/>
    </row>
    <row r="12" spans="1:12" ht="22.05" customHeight="1" x14ac:dyDescent="0.3">
      <c r="A12" s="13" t="s">
        <v>37</v>
      </c>
      <c r="B12" s="13" t="s">
        <v>51</v>
      </c>
      <c r="C12" s="13" t="s">
        <v>39</v>
      </c>
      <c r="D12" s="13" t="s">
        <v>40</v>
      </c>
      <c r="E12" s="14">
        <v>1</v>
      </c>
      <c r="F12" s="13" t="s">
        <v>41</v>
      </c>
      <c r="G12" s="15">
        <v>20000</v>
      </c>
      <c r="H12" s="15">
        <v>60000</v>
      </c>
      <c r="I12" s="15">
        <f t="shared" si="0"/>
        <v>40000</v>
      </c>
      <c r="J12" s="15">
        <f t="shared" si="1"/>
        <v>40000</v>
      </c>
      <c r="K12" s="16">
        <f t="shared" si="2"/>
        <v>2.3165575954132159E-2</v>
      </c>
      <c r="L12" s="13"/>
    </row>
    <row r="13" spans="1:12" ht="22.05" customHeight="1" x14ac:dyDescent="0.3">
      <c r="A13" s="13" t="s">
        <v>37</v>
      </c>
      <c r="B13" s="13" t="s">
        <v>52</v>
      </c>
      <c r="C13" s="13" t="s">
        <v>39</v>
      </c>
      <c r="D13" s="13" t="s">
        <v>40</v>
      </c>
      <c r="E13" s="14">
        <v>1</v>
      </c>
      <c r="F13" s="13" t="s">
        <v>41</v>
      </c>
      <c r="G13" s="15">
        <v>40000</v>
      </c>
      <c r="H13" s="15">
        <v>120000</v>
      </c>
      <c r="I13" s="15">
        <f t="shared" si="0"/>
        <v>80000</v>
      </c>
      <c r="J13" s="15">
        <f t="shared" si="1"/>
        <v>80000</v>
      </c>
      <c r="K13" s="16">
        <f t="shared" si="2"/>
        <v>4.6331151908264319E-2</v>
      </c>
      <c r="L13" s="13"/>
    </row>
    <row r="14" spans="1:12" ht="22.05" customHeight="1" x14ac:dyDescent="0.3">
      <c r="A14" s="13" t="s">
        <v>37</v>
      </c>
      <c r="B14" s="13" t="s">
        <v>53</v>
      </c>
      <c r="C14" s="13" t="s">
        <v>54</v>
      </c>
      <c r="D14" s="13" t="s">
        <v>55</v>
      </c>
      <c r="E14" s="14">
        <v>1</v>
      </c>
      <c r="F14" s="13" t="s">
        <v>41</v>
      </c>
      <c r="G14" s="15">
        <v>0</v>
      </c>
      <c r="H14" s="15">
        <v>0</v>
      </c>
      <c r="I14" s="15">
        <f t="shared" si="0"/>
        <v>0</v>
      </c>
      <c r="J14" s="15">
        <f t="shared" si="1"/>
        <v>0</v>
      </c>
      <c r="K14" s="16">
        <f t="shared" si="2"/>
        <v>0</v>
      </c>
      <c r="L14" s="13" t="s">
        <v>56</v>
      </c>
    </row>
    <row r="15" spans="1:12" ht="22.05" customHeight="1" x14ac:dyDescent="0.3">
      <c r="A15" s="17" t="s">
        <v>57</v>
      </c>
      <c r="B15" s="17" t="s">
        <v>58</v>
      </c>
      <c r="C15" s="17" t="s">
        <v>59</v>
      </c>
      <c r="D15" s="17" t="s">
        <v>60</v>
      </c>
      <c r="E15" s="18">
        <v>8</v>
      </c>
      <c r="F15" s="17" t="s">
        <v>41</v>
      </c>
      <c r="G15" s="19">
        <v>300</v>
      </c>
      <c r="H15" s="19">
        <v>1000</v>
      </c>
      <c r="I15" s="19">
        <f t="shared" si="0"/>
        <v>650</v>
      </c>
      <c r="J15" s="19">
        <f t="shared" si="1"/>
        <v>5200</v>
      </c>
      <c r="K15" s="20">
        <f t="shared" si="2"/>
        <v>3.0115248740371805E-3</v>
      </c>
      <c r="L15" s="17" t="s">
        <v>61</v>
      </c>
    </row>
    <row r="16" spans="1:12" ht="22.05" customHeight="1" x14ac:dyDescent="0.3">
      <c r="A16" s="21" t="s">
        <v>62</v>
      </c>
      <c r="B16" s="21" t="s">
        <v>63</v>
      </c>
      <c r="C16" s="21" t="s">
        <v>64</v>
      </c>
      <c r="D16" s="21" t="s">
        <v>60</v>
      </c>
      <c r="E16" s="22">
        <v>1</v>
      </c>
      <c r="F16" s="21" t="s">
        <v>41</v>
      </c>
      <c r="G16" s="23">
        <v>25000</v>
      </c>
      <c r="H16" s="23">
        <v>60000</v>
      </c>
      <c r="I16" s="23">
        <f t="shared" si="0"/>
        <v>42500</v>
      </c>
      <c r="J16" s="23">
        <f t="shared" si="1"/>
        <v>42500</v>
      </c>
      <c r="K16" s="24">
        <f t="shared" si="2"/>
        <v>2.4613424451265419E-2</v>
      </c>
      <c r="L16" s="21"/>
    </row>
    <row r="17" spans="1:12" ht="22.05" customHeight="1" x14ac:dyDescent="0.3">
      <c r="A17" s="21" t="s">
        <v>62</v>
      </c>
      <c r="B17" s="21" t="s">
        <v>65</v>
      </c>
      <c r="C17" s="21" t="s">
        <v>64</v>
      </c>
      <c r="D17" s="21" t="s">
        <v>60</v>
      </c>
      <c r="E17" s="22">
        <v>1</v>
      </c>
      <c r="F17" s="21" t="s">
        <v>41</v>
      </c>
      <c r="G17" s="23">
        <v>5000</v>
      </c>
      <c r="H17" s="23">
        <v>15000</v>
      </c>
      <c r="I17" s="23">
        <f t="shared" si="0"/>
        <v>10000</v>
      </c>
      <c r="J17" s="23">
        <f t="shared" si="1"/>
        <v>10000</v>
      </c>
      <c r="K17" s="24">
        <f t="shared" si="2"/>
        <v>5.7913939885330399E-3</v>
      </c>
      <c r="L17" s="21"/>
    </row>
    <row r="18" spans="1:12" ht="22.05" customHeight="1" x14ac:dyDescent="0.3">
      <c r="A18" s="21" t="s">
        <v>62</v>
      </c>
      <c r="B18" s="21" t="s">
        <v>66</v>
      </c>
      <c r="C18" s="21" t="s">
        <v>64</v>
      </c>
      <c r="D18" s="21" t="s">
        <v>60</v>
      </c>
      <c r="E18" s="22">
        <v>1</v>
      </c>
      <c r="F18" s="21" t="s">
        <v>41</v>
      </c>
      <c r="G18" s="23">
        <v>30000</v>
      </c>
      <c r="H18" s="23">
        <v>80000</v>
      </c>
      <c r="I18" s="23">
        <f t="shared" si="0"/>
        <v>55000</v>
      </c>
      <c r="J18" s="23">
        <f t="shared" si="1"/>
        <v>55000</v>
      </c>
      <c r="K18" s="24">
        <f t="shared" si="2"/>
        <v>3.1852666936931721E-2</v>
      </c>
      <c r="L18" s="21"/>
    </row>
    <row r="19" spans="1:12" ht="22.05" customHeight="1" x14ac:dyDescent="0.3">
      <c r="A19" s="21" t="s">
        <v>62</v>
      </c>
      <c r="B19" s="21" t="s">
        <v>67</v>
      </c>
      <c r="C19" s="21" t="s">
        <v>64</v>
      </c>
      <c r="D19" s="21" t="s">
        <v>60</v>
      </c>
      <c r="E19" s="22">
        <v>1</v>
      </c>
      <c r="F19" s="21" t="s">
        <v>41</v>
      </c>
      <c r="G19" s="23">
        <v>8000</v>
      </c>
      <c r="H19" s="23">
        <v>25000</v>
      </c>
      <c r="I19" s="23">
        <f t="shared" si="0"/>
        <v>16500</v>
      </c>
      <c r="J19" s="23">
        <f t="shared" si="1"/>
        <v>16500</v>
      </c>
      <c r="K19" s="24">
        <f t="shared" si="2"/>
        <v>9.5558000810795161E-3</v>
      </c>
      <c r="L19" s="21"/>
    </row>
    <row r="20" spans="1:12" ht="22.05" customHeight="1" x14ac:dyDescent="0.3">
      <c r="A20" s="25" t="s">
        <v>68</v>
      </c>
      <c r="B20" s="25" t="s">
        <v>93</v>
      </c>
      <c r="C20" s="25" t="s">
        <v>94</v>
      </c>
      <c r="D20" s="25" t="s">
        <v>40</v>
      </c>
      <c r="E20" s="26">
        <v>2</v>
      </c>
      <c r="F20" s="25" t="s">
        <v>71</v>
      </c>
      <c r="G20" s="27">
        <v>20000</v>
      </c>
      <c r="H20" s="27">
        <v>35000</v>
      </c>
      <c r="I20" s="27">
        <f t="shared" si="0"/>
        <v>27500</v>
      </c>
      <c r="J20" s="27">
        <f t="shared" si="1"/>
        <v>55000</v>
      </c>
      <c r="K20" s="28">
        <f t="shared" si="2"/>
        <v>3.1852666936931721E-2</v>
      </c>
      <c r="L20" s="25" t="s">
        <v>95</v>
      </c>
    </row>
    <row r="21" spans="1:12" ht="22.05" customHeight="1" x14ac:dyDescent="0.3">
      <c r="A21" s="21" t="s">
        <v>62</v>
      </c>
      <c r="B21" s="21" t="s">
        <v>96</v>
      </c>
      <c r="C21" s="21" t="s">
        <v>39</v>
      </c>
      <c r="D21" s="21" t="s">
        <v>40</v>
      </c>
      <c r="E21" s="22">
        <v>1</v>
      </c>
      <c r="F21" s="21" t="s">
        <v>41</v>
      </c>
      <c r="G21" s="23">
        <v>120000</v>
      </c>
      <c r="H21" s="23">
        <v>300000</v>
      </c>
      <c r="I21" s="23">
        <f t="shared" si="0"/>
        <v>210000</v>
      </c>
      <c r="J21" s="23">
        <f t="shared" si="1"/>
        <v>210000</v>
      </c>
      <c r="K21" s="24">
        <f t="shared" si="2"/>
        <v>0.12161927375919383</v>
      </c>
      <c r="L21" s="21"/>
    </row>
    <row r="22" spans="1:12" ht="22.05" customHeight="1" x14ac:dyDescent="0.3">
      <c r="A22" s="29" t="s">
        <v>74</v>
      </c>
      <c r="B22" s="29" t="s">
        <v>97</v>
      </c>
      <c r="C22" s="29" t="s">
        <v>76</v>
      </c>
      <c r="D22" s="29" t="s">
        <v>77</v>
      </c>
      <c r="E22" s="30">
        <v>4</v>
      </c>
      <c r="F22" s="29" t="s">
        <v>78</v>
      </c>
      <c r="G22" s="31">
        <v>35000</v>
      </c>
      <c r="H22" s="31">
        <v>50000</v>
      </c>
      <c r="I22" s="31">
        <f t="shared" si="0"/>
        <v>42500</v>
      </c>
      <c r="J22" s="31">
        <f t="shared" si="1"/>
        <v>170000</v>
      </c>
      <c r="K22" s="32">
        <f t="shared" si="2"/>
        <v>9.8453697805061677E-2</v>
      </c>
      <c r="L22" s="29"/>
    </row>
    <row r="23" spans="1:12" ht="22.05" customHeight="1" x14ac:dyDescent="0.3">
      <c r="A23" s="29" t="s">
        <v>74</v>
      </c>
      <c r="B23" s="29" t="s">
        <v>98</v>
      </c>
      <c r="C23" s="29" t="s">
        <v>99</v>
      </c>
      <c r="D23" s="29" t="s">
        <v>40</v>
      </c>
      <c r="E23" s="30">
        <v>4</v>
      </c>
      <c r="F23" s="29" t="s">
        <v>78</v>
      </c>
      <c r="G23" s="31">
        <v>40000</v>
      </c>
      <c r="H23" s="31">
        <v>60000</v>
      </c>
      <c r="I23" s="31">
        <f t="shared" si="0"/>
        <v>50000</v>
      </c>
      <c r="J23" s="31">
        <f t="shared" si="1"/>
        <v>200000</v>
      </c>
      <c r="K23" s="32">
        <f t="shared" si="2"/>
        <v>0.11582787977066079</v>
      </c>
      <c r="L23" s="29"/>
    </row>
    <row r="24" spans="1:12" ht="22.05" customHeight="1" x14ac:dyDescent="0.3">
      <c r="A24" s="29" t="s">
        <v>74</v>
      </c>
      <c r="B24" s="29" t="s">
        <v>81</v>
      </c>
      <c r="C24" s="29" t="s">
        <v>99</v>
      </c>
      <c r="D24" s="29" t="s">
        <v>40</v>
      </c>
      <c r="E24" s="30">
        <v>3</v>
      </c>
      <c r="F24" s="29" t="s">
        <v>78</v>
      </c>
      <c r="G24" s="31">
        <v>30000</v>
      </c>
      <c r="H24" s="31">
        <v>45000</v>
      </c>
      <c r="I24" s="31">
        <f t="shared" si="0"/>
        <v>37500</v>
      </c>
      <c r="J24" s="31">
        <f t="shared" si="1"/>
        <v>112500</v>
      </c>
      <c r="K24" s="32">
        <f t="shared" si="2"/>
        <v>6.5153182370996696E-2</v>
      </c>
      <c r="L24" s="29"/>
    </row>
    <row r="25" spans="1:12" ht="22.05" customHeight="1" x14ac:dyDescent="0.3">
      <c r="A25" s="29" t="s">
        <v>74</v>
      </c>
      <c r="B25" s="29" t="s">
        <v>100</v>
      </c>
      <c r="C25" s="29" t="s">
        <v>99</v>
      </c>
      <c r="D25" s="29" t="s">
        <v>40</v>
      </c>
      <c r="E25" s="30">
        <v>2</v>
      </c>
      <c r="F25" s="29" t="s">
        <v>78</v>
      </c>
      <c r="G25" s="31">
        <v>35000</v>
      </c>
      <c r="H25" s="31">
        <v>50000</v>
      </c>
      <c r="I25" s="31">
        <f t="shared" si="0"/>
        <v>42500</v>
      </c>
      <c r="J25" s="31">
        <f t="shared" si="1"/>
        <v>85000</v>
      </c>
      <c r="K25" s="32">
        <f t="shared" si="2"/>
        <v>4.9226848902530838E-2</v>
      </c>
      <c r="L25" s="29"/>
    </row>
    <row r="26" spans="1:12" x14ac:dyDescent="0.3">
      <c r="A26" s="33"/>
      <c r="B26" s="33"/>
      <c r="C26" s="33"/>
      <c r="D26" s="33"/>
      <c r="E26" s="33"/>
      <c r="F26" s="33"/>
      <c r="G26" s="34"/>
      <c r="H26" s="34"/>
      <c r="I26" s="34" t="s">
        <v>83</v>
      </c>
      <c r="J26" s="34">
        <f>SUM(J7:J25)</f>
        <v>1726700</v>
      </c>
      <c r="K26" s="35" t="s">
        <v>84</v>
      </c>
      <c r="L26" s="33"/>
    </row>
    <row r="27" spans="1:12" x14ac:dyDescent="0.3">
      <c r="G27" s="36"/>
      <c r="H27" s="36"/>
      <c r="I27" s="36"/>
      <c r="J27" s="36"/>
      <c r="K27" s="37"/>
    </row>
    <row r="28" spans="1:12" x14ac:dyDescent="0.3">
      <c r="G28" s="36"/>
      <c r="H28" s="36"/>
      <c r="I28" s="38" t="s">
        <v>85</v>
      </c>
      <c r="J28" s="7">
        <f>J26*(1+$B$3)</f>
        <v>3108060</v>
      </c>
      <c r="K28" s="37"/>
    </row>
    <row r="29" spans="1:12" x14ac:dyDescent="0.3">
      <c r="G29" s="36"/>
      <c r="H29" s="36"/>
      <c r="I29" s="38" t="s">
        <v>86</v>
      </c>
      <c r="J29" s="7">
        <f>J28-J26</f>
        <v>1381360</v>
      </c>
      <c r="K29" s="37"/>
    </row>
    <row r="30" spans="1:12" x14ac:dyDescent="0.3">
      <c r="G30" s="36"/>
      <c r="H30" s="36"/>
      <c r="I30" s="38" t="s">
        <v>87</v>
      </c>
      <c r="J30" s="8">
        <f>J29/J28</f>
        <v>0.44444444444444442</v>
      </c>
      <c r="K30" s="37"/>
    </row>
    <row r="31" spans="1:12" x14ac:dyDescent="0.3">
      <c r="G31" s="36"/>
      <c r="H31" s="36"/>
      <c r="I31" s="36"/>
      <c r="J31" s="36"/>
      <c r="K31" s="37"/>
    </row>
    <row r="32" spans="1:12" x14ac:dyDescent="0.3">
      <c r="A32" s="5" t="s">
        <v>88</v>
      </c>
      <c r="G32" s="36"/>
      <c r="H32" s="36"/>
      <c r="I32" s="36"/>
      <c r="J32" s="36"/>
      <c r="K32" s="37"/>
    </row>
    <row r="33" spans="1:11" x14ac:dyDescent="0.3">
      <c r="A33" s="39" t="s">
        <v>89</v>
      </c>
      <c r="B33" s="39" t="s">
        <v>90</v>
      </c>
      <c r="C33" s="39" t="s">
        <v>91</v>
      </c>
      <c r="G33" s="36"/>
      <c r="H33" s="36"/>
      <c r="I33" s="36"/>
      <c r="J33" s="36"/>
      <c r="K33" s="37"/>
    </row>
    <row r="34" spans="1:11" x14ac:dyDescent="0.3">
      <c r="A34" s="40" t="s">
        <v>37</v>
      </c>
      <c r="B34" s="40">
        <f>SUMIF(A7:A25,A34,J7:J25)</f>
        <v>765000</v>
      </c>
      <c r="C34" s="40">
        <f>B34/$J$26</f>
        <v>0.44304164012277758</v>
      </c>
      <c r="G34" s="36"/>
      <c r="H34" s="36"/>
      <c r="I34" s="36"/>
      <c r="J34" s="36"/>
      <c r="K34" s="37"/>
    </row>
    <row r="35" spans="1:11" x14ac:dyDescent="0.3">
      <c r="A35" s="40" t="s">
        <v>57</v>
      </c>
      <c r="B35" s="40">
        <f>SUMIF(A7:A25,A35,J7:J25)</f>
        <v>5200</v>
      </c>
      <c r="C35" s="40">
        <f>B35/$J$26</f>
        <v>3.0115248740371805E-3</v>
      </c>
      <c r="G35" s="36"/>
      <c r="H35" s="36"/>
      <c r="I35" s="36"/>
      <c r="J35" s="36"/>
      <c r="K35" s="37"/>
    </row>
    <row r="36" spans="1:11" x14ac:dyDescent="0.3">
      <c r="A36" s="40" t="s">
        <v>68</v>
      </c>
      <c r="B36" s="40">
        <f>SUMIF(A7:A25,A36,J7:J25)</f>
        <v>55000</v>
      </c>
      <c r="C36" s="40">
        <f>B36/$J$26</f>
        <v>3.1852666936931721E-2</v>
      </c>
      <c r="G36" s="36"/>
      <c r="H36" s="36"/>
      <c r="I36" s="36"/>
      <c r="J36" s="36"/>
      <c r="K36" s="37"/>
    </row>
    <row r="37" spans="1:11" x14ac:dyDescent="0.3">
      <c r="A37" s="40" t="s">
        <v>62</v>
      </c>
      <c r="B37" s="40">
        <f>SUMIF(A7:A25,A37,J7:J25)</f>
        <v>334000</v>
      </c>
      <c r="C37" s="40">
        <f>B37/$J$26</f>
        <v>0.19343255921700353</v>
      </c>
      <c r="G37" s="36"/>
      <c r="H37" s="36"/>
      <c r="I37" s="36"/>
      <c r="J37" s="36"/>
      <c r="K37" s="37"/>
    </row>
    <row r="38" spans="1:11" x14ac:dyDescent="0.3">
      <c r="A38" s="40" t="s">
        <v>74</v>
      </c>
      <c r="B38" s="40">
        <f>SUMIF(A7:A25,A38,J7:J25)</f>
        <v>567500</v>
      </c>
      <c r="C38" s="40">
        <f>B38/$J$26</f>
        <v>0.32866160884925</v>
      </c>
      <c r="G38" s="36"/>
      <c r="H38" s="36"/>
      <c r="I38" s="36"/>
      <c r="J38" s="36"/>
      <c r="K38" s="37"/>
    </row>
  </sheetData>
  <autoFilter ref="A6:L25" xr:uid="{00000000-0009-0000-0000-000002000000}"/>
  <mergeCells count="1">
    <mergeCell ref="A1:L1"/>
  </mergeCell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selection activeCell="D24" sqref="D24"/>
    </sheetView>
  </sheetViews>
  <sheetFormatPr defaultRowHeight="14.4" x14ac:dyDescent="0.3"/>
  <cols>
    <col min="1" max="1" width="28" customWidth="1"/>
    <col min="2" max="2" width="15" customWidth="1"/>
    <col min="3" max="3" width="10" customWidth="1"/>
    <col min="4" max="4" width="70" customWidth="1"/>
  </cols>
  <sheetData>
    <row r="1" spans="1:4" ht="21" x14ac:dyDescent="0.4">
      <c r="A1" s="45" t="s">
        <v>101</v>
      </c>
      <c r="B1" s="43"/>
      <c r="C1" s="43"/>
      <c r="D1" s="43"/>
    </row>
    <row r="3" spans="1:4" x14ac:dyDescent="0.3">
      <c r="A3" s="5" t="s">
        <v>102</v>
      </c>
      <c r="B3" s="5" t="s">
        <v>103</v>
      </c>
      <c r="C3" s="5" t="s">
        <v>30</v>
      </c>
      <c r="D3" s="5" t="s">
        <v>6</v>
      </c>
    </row>
    <row r="4" spans="1:4" x14ac:dyDescent="0.3">
      <c r="A4" s="40" t="s">
        <v>104</v>
      </c>
      <c r="B4" s="41">
        <v>0.8</v>
      </c>
      <c r="C4" s="40" t="s">
        <v>105</v>
      </c>
      <c r="D4" s="40" t="s">
        <v>106</v>
      </c>
    </row>
    <row r="5" spans="1:4" x14ac:dyDescent="0.3">
      <c r="A5" s="40" t="s">
        <v>53</v>
      </c>
      <c r="B5" s="40">
        <v>0</v>
      </c>
      <c r="C5" s="40" t="s">
        <v>107</v>
      </c>
      <c r="D5" s="40" t="s">
        <v>108</v>
      </c>
    </row>
    <row r="6" spans="1:4" x14ac:dyDescent="0.3">
      <c r="A6" s="40" t="s">
        <v>109</v>
      </c>
      <c r="B6" s="40">
        <v>2</v>
      </c>
      <c r="C6" s="40" t="s">
        <v>48</v>
      </c>
      <c r="D6" s="40" t="s">
        <v>110</v>
      </c>
    </row>
    <row r="7" spans="1:4" x14ac:dyDescent="0.3">
      <c r="A7" s="40" t="s">
        <v>111</v>
      </c>
      <c r="B7" s="40">
        <v>2</v>
      </c>
      <c r="C7" s="40" t="s">
        <v>71</v>
      </c>
      <c r="D7" s="40" t="s">
        <v>112</v>
      </c>
    </row>
    <row r="8" spans="1:4" x14ac:dyDescent="0.3">
      <c r="A8" s="40" t="s">
        <v>69</v>
      </c>
      <c r="B8" s="40">
        <v>0.5</v>
      </c>
      <c r="C8" s="40" t="s">
        <v>71</v>
      </c>
      <c r="D8" s="40" t="s">
        <v>113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Viabilidad</vt:lpstr>
      <vt:lpstr>Costos Prototipo</vt:lpstr>
      <vt:lpstr>Producto Industrial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Quintero Alvarez</cp:lastModifiedBy>
  <dcterms:created xsi:type="dcterms:W3CDTF">2026-04-24T03:27:20Z</dcterms:created>
  <dcterms:modified xsi:type="dcterms:W3CDTF">2026-04-24T03:36:06Z</dcterms:modified>
</cp:coreProperties>
</file>