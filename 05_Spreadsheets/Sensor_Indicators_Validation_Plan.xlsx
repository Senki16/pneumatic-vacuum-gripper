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4e89f3f0d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dores" sheetId="1" r:id="R3e13e93be92844b7"/>
    <x:sheet xmlns:r="http://schemas.openxmlformats.org/officeDocument/2006/relationships" name="Plan de Pruebas" sheetId="2" r:id="R1e0ef1343bd54b50"/>
    <x:sheet xmlns:r="http://schemas.openxmlformats.org/officeDocument/2006/relationships" name="Registro Laboratorio" sheetId="3" r:id="Rc1b6ca9f41b04fb1"/>
    <x:sheet xmlns:r="http://schemas.openxmlformats.org/officeDocument/2006/relationships" name="Verificación Sensórica" sheetId="4" r:id="R8d91fb8e00814e80"/>
    <x:sheet xmlns:r="http://schemas.openxmlformats.org/officeDocument/2006/relationships" name="Resumen" sheetId="5" r:id="Ra769ff74b967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dd/mm/yyyy"/>
    <x:numFmt numFmtId="202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i/>
      <x:sz val="11"/>
      <x:color rgb="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006100"/>
      </x:font>
      <x:fill>
        <x:patternFill patternType="solid">
          <x:bgColor rgb="C6EFCE"/>
        </x:patternFill>
      </x:fill>
    </x:dxf>
    <x:dxf>
      <x:font>
        <x:b/>
        <x:color rgb="9C0006"/>
      </x:font>
      <x:fill>
        <x:patternFill patternType="solid">
          <x:bgColor rgb="FFC7CE"/>
        </x:patternFill>
      </x:fill>
    </x:dxf>
    <x:dxf>
      <x:font>
        <x:b/>
        <x:color rgb="9C6500"/>
      </x:font>
      <x:fill>
        <x:patternFill patternType="solid">
          <x:bgColor rgb="FFEB9C"/>
        </x:patternFill>
      </x:fill>
    </x:dxf>
    <x:dxf>
      <x:font>
        <x:b/>
        <x:color rgb="1F4E78"/>
      </x:font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e929a50194ab1" /><Relationship Type="http://schemas.openxmlformats.org/officeDocument/2006/relationships/theme" Target="/xl/theme/theme1.xml" Id="R5d9f4952f7624c0d" /><Relationship Type="http://schemas.openxmlformats.org/officeDocument/2006/relationships/sharedStrings" Target="/xl/sharedStrings.xml" Id="Re360fbe1f2594e7f" /><Relationship Type="http://schemas.openxmlformats.org/officeDocument/2006/relationships/worksheet" Target="/xl/worksheets/sheet1.xml" Id="R3e13e93be92844b7" /><Relationship Type="http://schemas.openxmlformats.org/officeDocument/2006/relationships/worksheet" Target="/xl/worksheets/sheet2.xml" Id="R1e0ef1343bd54b50" /><Relationship Type="http://schemas.openxmlformats.org/officeDocument/2006/relationships/worksheet" Target="/xl/worksheets/sheet3.xml" Id="Rc1b6ca9f41b04fb1" /><Relationship Type="http://schemas.openxmlformats.org/officeDocument/2006/relationships/worksheet" Target="/xl/worksheets/sheet4.xml" Id="R8d91fb8e00814e80" /><Relationship Type="http://schemas.openxmlformats.org/officeDocument/2006/relationships/worksheet" Target="/xl/worksheets/sheet5.xml" Id="Ra769ff74b96744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cc1d77538d422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Resultados</c:v>
          </c:tx>
          <c:cat>
            <c:strRef>
              <c:f>'Resumen'!$A$5:$A$10</c:f>
              <c:strCache>
                <c:ptCount val="0"/>
              </c:strCache>
            </c:strRef>
          </c:cat>
          <c:val>
            <c:numRef>
              <c:f>'Resumen'!$C$5:$C$10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cc1d77538d42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dicadoresTable" displayName="IndicadoresTable" ref="A2:K13" headerRowCount="1">
  <x:tableColumns count="11">
    <x:tableColumn id="1" name="Código"/>
    <x:tableColumn id="2" name="Indicador"/>
    <x:tableColumn id="3" name="Qué verifica"/>
    <x:tableColumn id="4" name="Tipo de medición"/>
    <x:tableColumn id="5" name="Instrumento mínimo"/>
    <x:tableColumn id="6" name="Valor deseable / criterio"/>
    <x:tableColumn id="7" name="Prototipo"/>
    <x:tableColumn id="8" name="Industrial"/>
    <x:tableColumn id="9" name="Resultado esperado"/>
    <x:tableColumn id="10" name="Prioridad"/>
    <x:tableColumn id="11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PlanPruebasTable" displayName="PlanPruebasTable" ref="A2:J12" headerRowCount="1">
  <x:tableColumns count="10">
    <x:tableColumn id="1" name="Prueba"/>
    <x:tableColumn id="2" name="Objetivo"/>
    <x:tableColumn id="3" name="Procedimiento resumido"/>
    <x:tableColumn id="4" name="Indicador asociado"/>
    <x:tableColumn id="5" name="Datos a registrar"/>
    <x:tableColumn id="6" name="Valor deseable"/>
    <x:tableColumn id="7" name="Criterio de aceptación"/>
    <x:tableColumn id="8" name="Prototipo"/>
    <x:tableColumn id="9" name="Industrial"/>
    <x:tableColumn id="10" name="Evidencia requerida"/>
  </x:tableColumns>
  <x:tableStyleInfo name="TableStyleMedium2" showRowStripes="1"/>
</x:table>
</file>

<file path=xl/tables/table3.xml><?xml version="1.0" encoding="utf-8"?>
<x:table xmlns:x="http://schemas.openxmlformats.org/spreadsheetml/2006/main" id="3" name="RegistroLabTable" displayName="RegistroLabTable" ref="A2:N52" headerRowCount="1">
  <x:tableColumns count="14">
    <x:tableColumn id="1" name="Fecha"/>
    <x:tableColumn id="2" name="Escenario"/>
    <x:tableColumn id="3" name="Prueba"/>
    <x:tableColumn id="4" name="Iteración"/>
    <x:tableColumn id="5" name="Presión inicial (bar)"/>
    <x:tableColumn id="6" name="Presión final (bar)"/>
    <x:tableColumn id="7" name="Tiempo respuesta (s)"/>
    <x:tableColumn id="8" name="Peso (kg)"/>
    <x:tableColumn id="9" name="Resultado"/>
    <x:tableColumn id="10" name="Deslizamiento"/>
    <x:tableColumn id="11" name="Sensor lectura sin vacío"/>
    <x:tableColumn id="12" name="Sensor lectura con vacío"/>
    <x:tableColumn id="13" name="Sensor OK/FALLA"/>
    <x:tableColumn id="14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SensoricaTable" displayName="SensoricaTable" ref="A2:K6" headerRowCount="1">
  <x:tableColumns count="11">
    <x:tableColumn id="1" name="Sensor"/>
    <x:tableColumn id="2" name="Señal esperada"/>
    <x:tableColumn id="3" name="Condición sin vacío"/>
    <x:tableColumn id="4" name="Condición con vacío"/>
    <x:tableColumn id="5" name="Método de verificación"/>
    <x:tableColumn id="6" name="Valor deseable"/>
    <x:tableColumn id="7" name="Criterio OK"/>
    <x:tableColumn id="8" name="Riesgo si falla"/>
    <x:tableColumn id="9" name="Acción correctiva"/>
    <x:tableColumn id="10" name="Aplica prototipo"/>
    <x:tableColumn id="11" name="Aplica industri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77763dccdd42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39b7d0a45647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fdd0be595743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90f7769e6b47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bb72dcab11e4d4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2" hidden="0" customWidth="1"/>
    <x:col min="4" max="4" width="22" hidden="0" customWidth="1"/>
    <x:col min="5" max="5" width="22" hidden="0" customWidth="1"/>
    <x:col min="6" max="6" width="34" hidden="0" customWidth="1"/>
    <x:col min="7" max="7" width="12" hidden="0" customWidth="1"/>
    <x:col min="8" max="8" width="12" hidden="0" customWidth="1"/>
    <x:col min="9" max="9" width="28" hidden="0" customWidth="1"/>
    <x:col min="10" max="10" width="12" hidden="0" customWidth="1"/>
    <x:col min="11" max="11" width="36" hidden="0" customWidth="1"/>
  </x:cols>
  <x:sheetData>
    <x:row r="1">
      <x:c r="A1" s="5" t="str">
        <x:v>INDICADORES DE EVALUACIÓN - GRIPPER NEUMÁTICO</x:v>
      </x:c>
    </x:row>
    <x:row r="2">
      <x:c r="A2" s="14" t="str">
        <x:v>Código</x:v>
      </x:c>
      <x:c r="B2" s="14" t="str">
        <x:v>Indicador</x:v>
      </x:c>
      <x:c r="C2" s="14" t="str">
        <x:v>Qué verifica</x:v>
      </x:c>
      <x:c r="D2" s="14" t="str">
        <x:v>Tipo de medición</x:v>
      </x:c>
      <x:c r="E2" s="14" t="str">
        <x:v>Instrumento mínimo</x:v>
      </x:c>
      <x:c r="F2" s="14" t="str">
        <x:v>Valor deseable / criterio</x:v>
      </x:c>
      <x:c r="G2" s="14" t="str">
        <x:v>Prototipo</x:v>
      </x:c>
      <x:c r="H2" s="14" t="str">
        <x:v>Industrial</x:v>
      </x:c>
      <x:c r="I2" s="14" t="str">
        <x:v>Resultado esperado</x:v>
      </x:c>
      <x:c r="J2" s="14" t="str">
        <x:v>Prioridad</x:v>
      </x:c>
      <x:c r="K2" s="14" t="str">
        <x:v>Observaciones</x:v>
      </x:c>
    </x:row>
    <x:row r="3">
      <x:c r="A3" s="20" t="str">
        <x:v>I-01</x:v>
      </x:c>
      <x:c r="B3" s="20" t="str">
        <x:v>Agarre efectivo</x:v>
      </x:c>
      <x:c r="C3" s="20" t="str">
        <x:v>Capacidad de sujetar la lámina sin caída</x:v>
      </x:c>
      <x:c r="D3" s="20" t="str">
        <x:v>OK/FALLA</x:v>
      </x:c>
      <x:c r="E3" s="20" t="str">
        <x:v>Observación directa</x:v>
      </x:c>
      <x:c r="F3" s="20" t="str">
        <x:v>OK en cada levantamiento</x:v>
      </x:c>
      <x:c r="G3" s="20" t="str">
        <x:v>Sí</x:v>
      </x:c>
      <x:c r="H3" s="20" t="str">
        <x:v>Sí</x:v>
      </x:c>
      <x:c r="I3" s="20" t="str">
        <x:v>La pieza no se cae</x:v>
      </x:c>
      <x:c r="J3" s="20" t="str">
        <x:v>Alta</x:v>
      </x:c>
      <x:c r="K3" s="20" t="str">
        <x:v>Prueba básica funcional.</x:v>
      </x:c>
    </x:row>
    <x:row r="4">
      <x:c r="A4" s="20" t="str">
        <x:v>I-02</x:v>
      </x:c>
      <x:c r="B4" s="20" t="str">
        <x:v>Repetibilidad</x:v>
      </x:c>
      <x:c r="C4" s="20" t="str">
        <x:v>Confiabilidad en varios ciclos de agarre/liberación</x:v>
      </x:c>
      <x:c r="D4" s="20" t="str">
        <x:v>% de éxito</x:v>
      </x:c>
      <x:c r="E4" s="20" t="str">
        <x:v>Conteo manual</x:v>
      </x:c>
      <x:c r="F4" s="20" t="str">
        <x:v>≥ 90% prototipo; ≥ 95% industrial</x:v>
      </x:c>
      <x:c r="G4" s="20" t="str">
        <x:v>Sí</x:v>
      </x:c>
      <x:c r="H4" s="20" t="str">
        <x:v>Sí</x:v>
      </x:c>
      <x:c r="I4" s="20" t="str">
        <x:v>Alta tasa de ciclos exitosos</x:v>
      </x:c>
      <x:c r="J4" s="20" t="str">
        <x:v>Alta</x:v>
      </x:c>
      <x:c r="K4" s="20" t="str">
        <x:v>Calcular con ciclos exitosos / totales.</x:v>
      </x:c>
    </x:row>
    <x:row r="5">
      <x:c r="A5" s="20" t="str">
        <x:v>I-03</x:v>
      </x:c>
      <x:c r="B5" s="20" t="str">
        <x:v>Tiempo de respuesta</x:v>
      </x:c>
      <x:c r="C5" s="20" t="str">
        <x:v>Rapidez entre activación y agarre estable</x:v>
      </x:c>
      <x:c r="D5" s="20" t="str">
        <x:v>Segundos</x:v>
      </x:c>
      <x:c r="E5" s="20" t="str">
        <x:v>Cronómetro de celular</x:v>
      </x:c>
      <x:c r="F5" s="20" t="str">
        <x:v>≤ 2,0 s prototipo; ≤ 1,0 s industrial</x:v>
      </x:c>
      <x:c r="G5" s="20" t="str">
        <x:v>Sí</x:v>
      </x:c>
      <x:c r="H5" s="20" t="str">
        <x:v>Sí</x:v>
      </x:c>
      <x:c r="I5" s="20" t="str">
        <x:v>Agarre rápido y estable</x:v>
      </x:c>
      <x:c r="J5" s="20" t="str">
        <x:v>Media</x:v>
      </x:c>
      <x:c r="K5" s="20" t="str">
        <x:v>Promediar mínimo 5 ensayos.</x:v>
      </x:c>
    </x:row>
    <x:row r="6">
      <x:c r="A6" s="20" t="str">
        <x:v>I-04</x:v>
      </x:c>
      <x:c r="B6" s="20" t="str">
        <x:v>Capacidad de carga</x:v>
      </x:c>
      <x:c r="C6" s="20" t="str">
        <x:v>Peso máximo soportado sin desprendimiento</x:v>
      </x:c>
      <x:c r="D6" s="20" t="str">
        <x:v>kg</x:v>
      </x:c>
      <x:c r="E6" s="20" t="str">
        <x:v>Carga conocida / balanza</x:v>
      </x:c>
      <x:c r="F6" s="20" t="str">
        <x:v>≥ 2,5 kg</x:v>
      </x:c>
      <x:c r="G6" s="20" t="str">
        <x:v>Sí</x:v>
      </x:c>
      <x:c r="H6" s="20" t="str">
        <x:v>Sí</x:v>
      </x:c>
      <x:c r="I6" s="20" t="str">
        <x:v>Soporta lámina objetivo</x:v>
      </x:c>
      <x:c r="J6" s="20" t="str">
        <x:v>Alta</x:v>
      </x:c>
      <x:c r="K6" s="20" t="str">
        <x:v>Incrementar carga de forma gradual.</x:v>
      </x:c>
    </x:row>
    <x:row r="7">
      <x:c r="A7" s="20" t="str">
        <x:v>I-05</x:v>
      </x:c>
      <x:c r="B7" s="20" t="str">
        <x:v>Deslizamiento</x:v>
      </x:c>
      <x:c r="C7" s="20" t="str">
        <x:v>Estabilidad de la pieza durante el agarre</x:v>
      </x:c>
      <x:c r="D7" s="20" t="str">
        <x:v>Cualitativo / mm opcional</x:v>
      </x:c>
      <x:c r="E7" s="20" t="str">
        <x:v>Observación / marca visual</x:v>
      </x:c>
      <x:c r="F7" s="20" t="str">
        <x:v>Sin deslizamiento visible</x:v>
      </x:c>
      <x:c r="G7" s="20" t="str">
        <x:v>Sí</x:v>
      </x:c>
      <x:c r="H7" s="20" t="str">
        <x:v>Sí</x:v>
      </x:c>
      <x:c r="I7" s="20" t="str">
        <x:v>Pieza estable</x:v>
      </x:c>
      <x:c r="J7" s="20" t="str">
        <x:v>Alta</x:v>
      </x:c>
      <x:c r="K7" s="20" t="str">
        <x:v>Marcar posición inicial en la lámina.</x:v>
      </x:c>
    </x:row>
    <x:row r="8">
      <x:c r="A8" s="20" t="str">
        <x:v>I-06</x:v>
      </x:c>
      <x:c r="B8" s="20" t="str">
        <x:v>Estabilidad neumática</x:v>
      </x:c>
      <x:c r="C8" s="20" t="str">
        <x:v>Continuidad de presión/vacío durante el ciclo</x:v>
      </x:c>
      <x:c r="D8" s="20" t="str">
        <x:v>Estable/Inestable; bar si hay manómetro</x:v>
      </x:c>
      <x:c r="E8" s="20" t="str">
        <x:v>Manómetro del compresor/regulador</x:v>
      </x:c>
      <x:c r="F8" s="20" t="str">
        <x:v>Presión estable entre 4–6 bar o rango definido</x:v>
      </x:c>
      <x:c r="G8" s="20" t="str">
        <x:v>Sí</x:v>
      </x:c>
      <x:c r="H8" s="20" t="str">
        <x:v>Sí</x:v>
      </x:c>
      <x:c r="I8" s="20" t="str">
        <x:v>Sin caídas bruscas ni fugas</x:v>
      </x:c>
      <x:c r="J8" s="20" t="str">
        <x:v>Alta</x:v>
      </x:c>
      <x:c r="K8" s="20" t="str">
        <x:v>Registrar presión inicial/final.</x:v>
      </x:c>
    </x:row>
    <x:row r="9">
      <x:c r="A9" s="20" t="str">
        <x:v>I-07</x:v>
      </x:c>
      <x:c r="B9" s="20" t="str">
        <x:v>Liberación controlada</x:v>
      </x:c>
      <x:c r="C9" s="20" t="str">
        <x:v>Capacidad de soltar la pieza sin quedar adherida</x:v>
      </x:c>
      <x:c r="D9" s="20" t="str">
        <x:v>OK/FALLA</x:v>
      </x:c>
      <x:c r="E9" s="20" t="str">
        <x:v>Observación directa</x:v>
      </x:c>
      <x:c r="F9" s="20" t="str">
        <x:v>Liberación completa al desactivar</x:v>
      </x:c>
      <x:c r="G9" s="20" t="str">
        <x:v>Sí</x:v>
      </x:c>
      <x:c r="H9" s="20" t="str">
        <x:v>Sí</x:v>
      </x:c>
      <x:c r="I9" s="20" t="str">
        <x:v>Pieza se libera sin arrastre</x:v>
      </x:c>
      <x:c r="J9" s="20" t="str">
        <x:v>Media</x:v>
      </x:c>
      <x:c r="K9" s="20" t="str">
        <x:v>Validar seguridad de liberación.</x:v>
      </x:c>
    </x:row>
    <x:row r="10">
      <x:c r="A10" s="20" t="str">
        <x:v>I-08</x:v>
      </x:c>
      <x:c r="B10" s="20" t="str">
        <x:v>Integración de control</x:v>
      </x:c>
      <x:c r="C10" s="20" t="str">
        <x:v>Respuesta de ESP32/relé/válvula ante comando</x:v>
      </x:c>
      <x:c r="D10" s="20" t="str">
        <x:v>OK/FALLA</x:v>
      </x:c>
      <x:c r="E10" s="20" t="str">
        <x:v>Observación de activación</x:v>
      </x:c>
      <x:c r="F10" s="20" t="str">
        <x:v>Actuación correcta sin retraso crítico</x:v>
      </x:c>
      <x:c r="G10" s="20" t="str">
        <x:v>Sí</x:v>
      </x:c>
      <x:c r="H10" s="20" t="str">
        <x:v>Sí</x:v>
      </x:c>
      <x:c r="I10" s="20" t="str">
        <x:v>Válvula responde a la orden</x:v>
      </x:c>
      <x:c r="J10" s="20" t="str">
        <x:v>Alta</x:v>
      </x:c>
      <x:c r="K10" s="20" t="str">
        <x:v>Verificar relé y señal del programa.</x:v>
      </x:c>
    </x:row>
    <x:row r="11">
      <x:c r="A11" s="20" t="str">
        <x:v>I-09</x:v>
      </x:c>
      <x:c r="B11" s="20" t="str">
        <x:v>Verificación de sensórica</x:v>
      </x:c>
      <x:c r="C11" s="20" t="str">
        <x:v>Confirmar que el sensor detecta condición de vacío/presión</x:v>
      </x:c>
      <x:c r="D11" s="20" t="str">
        <x:v>OK/FALLA + lectura</x:v>
      </x:c>
      <x:c r="E11" s="20" t="str">
        <x:v>LED/serial/valor ADC/manómetro</x:v>
      </x:c>
      <x:c r="F11" s="20" t="str">
        <x:v>Cambio de lectura al activar vacío; umbral coherente</x:v>
      </x:c>
      <x:c r="G11" s="20" t="str">
        <x:v>Sí</x:v>
      </x:c>
      <x:c r="H11" s="20" t="str">
        <x:v>Sí</x:v>
      </x:c>
      <x:c r="I11" s="20" t="str">
        <x:v>Sensor cambia de estado o valor</x:v>
      </x:c>
      <x:c r="J11" s="20" t="str">
        <x:v>Alta</x:v>
      </x:c>
      <x:c r="K11" s="20" t="str">
        <x:v>Aplica MPX5700 o vacuostato 24 V.</x:v>
      </x:c>
    </x:row>
    <x:row r="12">
      <x:c r="A12" s="20" t="str">
        <x:v>I-10</x:v>
      </x:c>
      <x:c r="B12" s="20" t="str">
        <x:v>Fugas visibles/audibles</x:v>
      </x:c>
      <x:c r="C12" s="20" t="str">
        <x:v>Hermeticidad de conexiones neumáticas</x:v>
      </x:c>
      <x:c r="D12" s="20" t="str">
        <x:v>OK/FALLA</x:v>
      </x:c>
      <x:c r="E12" s="20" t="str">
        <x:v>Escucha/agua jabonosa opcional</x:v>
      </x:c>
      <x:c r="F12" s="20" t="str">
        <x:v>Sin fuga audible o burbujeo</x:v>
      </x:c>
      <x:c r="G12" s="20" t="str">
        <x:v>Sí</x:v>
      </x:c>
      <x:c r="H12" s="20" t="str">
        <x:v>Sí</x:v>
      </x:c>
      <x:c r="I12" s="20" t="str">
        <x:v>Sistema hermético</x:v>
      </x:c>
      <x:c r="J12" s="20" t="str">
        <x:v>Alta</x:v>
      </x:c>
      <x:c r="K12" s="20" t="str">
        <x:v>Revisar racores, ventosas y tubería.</x:v>
      </x:c>
    </x:row>
    <x:row r="13">
      <x:c r="A13" s="20" t="str">
        <x:v>I-11</x:v>
      </x:c>
      <x:c r="B13" s="20" t="str">
        <x:v>Viabilidad económica</x:v>
      </x:c>
      <x:c r="C13" s="20" t="str">
        <x:v>Relación costo funcionalidad</x:v>
      </x:c>
      <x:c r="D13" s="20" t="str">
        <x:v>COP / comparación</x:v>
      </x:c>
      <x:c r="E13" s="20" t="str">
        <x:v>Excel de costos</x:v>
      </x:c>
      <x:c r="F13" s="20" t="str">
        <x:v>Costo justificable vs funcionalidad esperada</x:v>
      </x:c>
      <x:c r="G13" s="20" t="str">
        <x:v>Sí</x:v>
      </x:c>
      <x:c r="H13" s="20" t="str">
        <x:v>Sí</x:v>
      </x:c>
      <x:c r="I13" s="20" t="str">
        <x:v>Proyecto económicamente viable</x:v>
      </x:c>
      <x:c r="J13" s="20" t="str">
        <x:v>Media</x:v>
      </x:c>
      <x:c r="K13" s="20" t="str">
        <x:v>Conectar con análisis de costos.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a77763dccdd42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4" hidden="0" customWidth="1"/>
    <x:col min="4" max="4" width="18" hidden="0" customWidth="1"/>
    <x:col min="5" max="5" width="28" hidden="0" customWidth="1"/>
    <x:col min="6" max="6" width="25" hidden="0" customWidth="1"/>
    <x:col min="7" max="7" width="34" hidden="0" customWidth="1"/>
    <x:col min="8" max="8" width="12" hidden="0" customWidth="1"/>
    <x:col min="9" max="9" width="12" hidden="0" customWidth="1"/>
    <x:col min="10" max="10" width="30" hidden="0" customWidth="1"/>
  </x:cols>
  <x:sheetData>
    <x:row r="1">
      <x:c r="A1" s="5" t="str">
        <x:v>PLAN DE PRUEBAS DE EVALUACIÓN Y VALIDACIÓN</x:v>
      </x:c>
    </x:row>
    <x:row r="2">
      <x:c r="A2" s="14" t="str">
        <x:v>Prueba</x:v>
      </x:c>
      <x:c r="B2" s="14" t="str">
        <x:v>Objetivo</x:v>
      </x:c>
      <x:c r="C2" s="14" t="str">
        <x:v>Procedimiento resumido</x:v>
      </x:c>
      <x:c r="D2" s="14" t="str">
        <x:v>Indicador asociado</x:v>
      </x:c>
      <x:c r="E2" s="14" t="str">
        <x:v>Datos a registrar</x:v>
      </x:c>
      <x:c r="F2" s="14" t="str">
        <x:v>Valor deseable</x:v>
      </x:c>
      <x:c r="G2" s="14" t="str">
        <x:v>Criterio de aceptación</x:v>
      </x:c>
      <x:c r="H2" s="14" t="str">
        <x:v>Prototipo</x:v>
      </x:c>
      <x:c r="I2" s="14" t="str">
        <x:v>Industrial</x:v>
      </x:c>
      <x:c r="J2" s="14" t="str">
        <x:v>Evidencia requerida</x:v>
      </x:c>
    </x:row>
    <x:row r="3">
      <x:c r="A3" s="20" t="str">
        <x:v>P-01 Ensamble e integración</x:v>
      </x:c>
      <x:c r="B3" s="20" t="str">
        <x:v>Confirmar montaje correcto antes de energizar</x:v>
      </x:c>
      <x:c r="C3" s="20" t="str">
        <x:v>Revisar ventosas, racores, tubería, válvula, relé, ESP32/fuente y fijaciones.</x:v>
      </x:c>
      <x:c r="D3" s="20" t="str">
        <x:v>I-08, I-10</x:v>
      </x:c>
      <x:c r="E3" s="20" t="str">
        <x:v>Checklist OK/FALLA</x:v>
      </x:c>
      <x:c r="F3" s="20" t="str">
        <x:v>100% conexiones verificadas</x:v>
      </x:c>
      <x:c r="G3" s="20" t="str">
        <x:v>Sin piezas flojas, sin fugas evidentes y respuesta de válvula correcta</x:v>
      </x:c>
      <x:c r="H3" s="20" t="str">
        <x:v>Sí</x:v>
      </x:c>
      <x:c r="I3" s="20" t="str">
        <x:v>Sí</x:v>
      </x:c>
      <x:c r="J3" s="20" t="str">
        <x:v>Foto del ensamble y checklist firmado</x:v>
      </x:c>
    </x:row>
    <x:row r="4">
      <x:c r="A4" s="20" t="str">
        <x:v>P-02 Agarre inicial</x:v>
      </x:c>
      <x:c r="B4" s="20" t="str">
        <x:v>Validar agarre de lámina real o carga equivalente</x:v>
      </x:c>
      <x:c r="C4" s="20" t="str">
        <x:v>Ubicar gripper, activar vacío y elevar durante 5 s.</x:v>
      </x:c>
      <x:c r="D4" s="20" t="str">
        <x:v>I-01</x:v>
      </x:c>
      <x:c r="E4" s="20" t="str">
        <x:v>OK/FALLA</x:v>
      </x:c>
      <x:c r="F4" s="20" t="str">
        <x:v>OK</x:v>
      </x:c>
      <x:c r="G4" s="20" t="str">
        <x:v>La pieza no se cae</x:v>
      </x:c>
      <x:c r="H4" s="20" t="str">
        <x:v>Sí</x:v>
      </x:c>
      <x:c r="I4" s="20" t="str">
        <x:v>Sí</x:v>
      </x:c>
      <x:c r="J4" s="20" t="str">
        <x:v>Foto/video del agarre</x:v>
      </x:c>
    </x:row>
    <x:row r="5">
      <x:c r="A5" s="20" t="str">
        <x:v>P-03 Repetibilidad</x:v>
      </x:c>
      <x:c r="B5" s="20" t="str">
        <x:v>Evaluar confiabilidad en ciclos repetidos</x:v>
      </x:c>
      <x:c r="C5" s="20" t="str">
        <x:v>Realizar 20 ciclos prototipo o 50 industrial de agarre-liberación.</x:v>
      </x:c>
      <x:c r="D5" s="20" t="str">
        <x:v>I-02</x:v>
      </x:c>
      <x:c r="E5" s="20" t="str">
        <x:v>Ciclos exitosos y fallidos</x:v>
      </x:c>
      <x:c r="F5" s="20" t="str">
        <x:v>≥ 90% / ≥ 95%</x:v>
      </x:c>
      <x:c r="G5" s="20" t="str">
        <x:v>Cumple el porcentaje de éxito objetivo</x:v>
      </x:c>
      <x:c r="H5" s="20" t="str">
        <x:v>Sí</x:v>
      </x:c>
      <x:c r="I5" s="20" t="str">
        <x:v>Sí</x:v>
      </x:c>
      <x:c r="J5" s="20" t="str">
        <x:v>Tabla de ciclos</x:v>
      </x:c>
    </x:row>
    <x:row r="6">
      <x:c r="A6" s="20" t="str">
        <x:v>P-04 Tiempo de respuesta</x:v>
      </x:c>
      <x:c r="B6" s="20" t="str">
        <x:v>Medir rapidez del sistema</x:v>
      </x:c>
      <x:c r="C6" s="20" t="str">
        <x:v>Cronometrar desde comando hasta agarre estable. Repetir mínimo 5 veces.</x:v>
      </x:c>
      <x:c r="D6" s="20" t="str">
        <x:v>I-03</x:v>
      </x:c>
      <x:c r="E6" s="20" t="str">
        <x:v>Tiempo por iteración</x:v>
      </x:c>
      <x:c r="F6" s="20" t="str">
        <x:v>≤ 2,0 s / ≤ 1,0 s</x:v>
      </x:c>
      <x:c r="G6" s="20" t="str">
        <x:v>Tiempo promedio cumple el objetivo</x:v>
      </x:c>
      <x:c r="H6" s="20" t="str">
        <x:v>Sí</x:v>
      </x:c>
      <x:c r="I6" s="20" t="str">
        <x:v>Sí</x:v>
      </x:c>
      <x:c r="J6" s="20" t="str">
        <x:v>Registro de tiempos</x:v>
      </x:c>
    </x:row>
    <x:row r="7">
      <x:c r="A7" s="20" t="str">
        <x:v>P-05 Capacidad de carga</x:v>
      </x:c>
      <x:c r="B7" s="20" t="str">
        <x:v>Comprobar carga máxima operativa</x:v>
      </x:c>
      <x:c r="C7" s="20" t="str">
        <x:v>Aumentar peso gradualmente hasta 2,5 kg o más, sin exceder condiciones seguras.</x:v>
      </x:c>
      <x:c r="D7" s="20" t="str">
        <x:v>I-04</x:v>
      </x:c>
      <x:c r="E7" s="20" t="str">
        <x:v>Peso máximo soportado</x:v>
      </x:c>
      <x:c r="F7" s="20" t="str">
        <x:v>≥ 2,5 kg</x:v>
      </x:c>
      <x:c r="G7" s="20" t="str">
        <x:v>No hay caída ni desprendimiento</x:v>
      </x:c>
      <x:c r="H7" s="20" t="str">
        <x:v>Sí</x:v>
      </x:c>
      <x:c r="I7" s="20" t="str">
        <x:v>Sí</x:v>
      </x:c>
      <x:c r="J7" s="20" t="str">
        <x:v>Foto/video y registro de kg</x:v>
      </x:c>
    </x:row>
    <x:row r="8">
      <x:c r="A8" s="20" t="str">
        <x:v>P-06 Deslizamiento</x:v>
      </x:c>
      <x:c r="B8" s="20" t="str">
        <x:v>Verificar estabilidad de la pieza</x:v>
      </x:c>
      <x:c r="C8" s="20" t="str">
        <x:v>Marcar posición inicial, elevar 10–30 s y observar desplazamiento.</x:v>
      </x:c>
      <x:c r="D8" s="20" t="str">
        <x:v>I-05</x:v>
      </x:c>
      <x:c r="E8" s="20" t="str">
        <x:v>Nulo/leve/medio/alto</x:v>
      </x:c>
      <x:c r="F8" s="20" t="str">
        <x:v>Nulo</x:v>
      </x:c>
      <x:c r="G8" s="20" t="str">
        <x:v>No hay desplazamiento visible</x:v>
      </x:c>
      <x:c r="H8" s="20" t="str">
        <x:v>Sí</x:v>
      </x:c>
      <x:c r="I8" s="20" t="str">
        <x:v>Sí</x:v>
      </x:c>
      <x:c r="J8" s="20" t="str">
        <x:v>Foto antes/después</x:v>
      </x:c>
    </x:row>
    <x:row r="9">
      <x:c r="A9" s="20" t="str">
        <x:v>P-07 Estabilidad de presión</x:v>
      </x:c>
      <x:c r="B9" s="20" t="str">
        <x:v>Verificar condición neumática estable</x:v>
      </x:c>
      <x:c r="C9" s="20" t="str">
        <x:v>Observar manómetro antes/durante/después del ciclo.</x:v>
      </x:c>
      <x:c r="D9" s="20" t="str">
        <x:v>I-06</x:v>
      </x:c>
      <x:c r="E9" s="20" t="str">
        <x:v>Presión inicial/final; estable/inestable</x:v>
      </x:c>
      <x:c r="F9" s="20" t="str">
        <x:v>4–6 bar o rango definido</x:v>
      </x:c>
      <x:c r="G9" s="20" t="str">
        <x:v>No hay caída brusca ni fuga audible</x:v>
      </x:c>
      <x:c r="H9" s="20" t="str">
        <x:v>Sí</x:v>
      </x:c>
      <x:c r="I9" s="20" t="str">
        <x:v>Sí</x:v>
      </x:c>
      <x:c r="J9" s="20" t="str">
        <x:v>Lectura del manómetro</x:v>
      </x:c>
    </x:row>
    <x:row r="10">
      <x:c r="A10" s="20" t="str">
        <x:v>P-08 Liberación</x:v>
      </x:c>
      <x:c r="B10" s="20" t="str">
        <x:v>Validar que suelte la pieza de forma controlada</x:v>
      </x:c>
      <x:c r="C10" s="20" t="str">
        <x:v>Desactivar vacío y observar liberación completa.</x:v>
      </x:c>
      <x:c r="D10" s="20" t="str">
        <x:v>I-07</x:v>
      </x:c>
      <x:c r="E10" s="20" t="str">
        <x:v>OK/FALLA</x:v>
      </x:c>
      <x:c r="F10" s="20" t="str">
        <x:v>OK</x:v>
      </x:c>
      <x:c r="G10" s="20" t="str">
        <x:v>La pieza se libera sin arrastre</x:v>
      </x:c>
      <x:c r="H10" s="20" t="str">
        <x:v>Sí</x:v>
      </x:c>
      <x:c r="I10" s="20" t="str">
        <x:v>Sí</x:v>
      </x:c>
      <x:c r="J10" s="20" t="str">
        <x:v>Video corto</x:v>
      </x:c>
    </x:row>
    <x:row r="11">
      <x:c r="A11" s="20" t="str">
        <x:v>P-09 Sensórica MPX5700 / vacuostato</x:v>
      </x:c>
      <x:c r="B11" s="20" t="str">
        <x:v>Verificar que el sensor detecta cambio de presión/vacío</x:v>
      </x:c>
      <x:c r="C11" s="20" t="str">
        <x:v>Activar/desactivar vacío y comparar lectura: ADC/serial/LED o estado del vacuostato.</x:v>
      </x:c>
      <x:c r="D11" s="20" t="str">
        <x:v>I-09</x:v>
      </x:c>
      <x:c r="E11" s="20" t="str">
        <x:v>Lectura sin vacío, lectura con vacío, estado OK/FALLA</x:v>
      </x:c>
      <x:c r="F11" s="20" t="str">
        <x:v>Cambio claro de lectura o estado</x:v>
      </x:c>
      <x:c r="G11" s="20" t="str">
        <x:v>El sensor diferencia condición sin vacío y con vacío</x:v>
      </x:c>
      <x:c r="H11" s="20" t="str">
        <x:v>Sí</x:v>
      </x:c>
      <x:c r="I11" s="20" t="str">
        <x:v>Sí</x:v>
      </x:c>
      <x:c r="J11" s="20" t="str">
        <x:v>Captura serial/LED o lectura registrada</x:v>
      </x:c>
    </x:row>
    <x:row r="12">
      <x:c r="A12" s="20" t="str">
        <x:v>P-10 Viabilidad económica</x:v>
      </x:c>
      <x:c r="B12" s="20" t="str">
        <x:v>Relacionar costo con desempeño validado</x:v>
      </x:c>
      <x:c r="C12" s="20" t="str">
        <x:v>Comparar costo total con resultados de pruebas y posible precio de venta.</x:v>
      </x:c>
      <x:c r="D12" s="20" t="str">
        <x:v>I-11</x:v>
      </x:c>
      <x:c r="E12" s="20" t="str">
        <x:v>Costo, margen, resultado de pruebas</x:v>
      </x:c>
      <x:c r="F12" s="20" t="str">
        <x:v>Proyecto funcional con costo justificable</x:v>
      </x:c>
      <x:c r="G12" s="20" t="str">
        <x:v>Cumple pruebas críticas y el costo es defendible</x:v>
      </x:c>
      <x:c r="H12" s="20" t="str">
        <x:v>Sí</x:v>
      </x:c>
      <x:c r="I12" s="20" t="str">
        <x:v>Sí</x:v>
      </x:c>
      <x:c r="J12" s="20" t="str">
        <x:v>Excel de costos + resultados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739b7d0a45647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10" hidden="0" customWidth="1"/>
    <x:col min="5" max="5" width="17" hidden="0" customWidth="1"/>
    <x:col min="6" max="6" width="17" hidden="0" customWidth="1"/>
    <x:col min="7" max="7" width="18" hidden="0" customWidth="1"/>
    <x:col min="8" max="8" width="12" hidden="0" customWidth="1"/>
    <x:col min="9" max="9" width="14" hidden="0" customWidth="1"/>
    <x:col min="10" max="10" width="16" hidden="0" customWidth="1"/>
    <x:col min="11" max="11" width="22" hidden="0" customWidth="1"/>
    <x:col min="12" max="12" width="22" hidden="0" customWidth="1"/>
    <x:col min="13" max="13" width="18" hidden="0" customWidth="1"/>
    <x:col min="14" max="14" width="36" hidden="0" customWidth="1"/>
  </x:cols>
  <x:sheetData>
    <x:row r="1">
      <x:c r="A1" s="5" t="str">
        <x:v>REGISTRO DE DATOS DE VALIDACIÓN - LLENAR EN LABORATORIO</x:v>
      </x:c>
    </x:row>
    <x:row r="2">
      <x:c r="A2" s="14" t="str">
        <x:v>Fecha</x:v>
      </x:c>
      <x:c r="B2" s="14" t="str">
        <x:v>Escenario</x:v>
      </x:c>
      <x:c r="C2" s="14" t="str">
        <x:v>Prueba</x:v>
      </x:c>
      <x:c r="D2" s="14" t="str">
        <x:v>Iteración</x:v>
      </x:c>
      <x:c r="E2" s="14" t="str">
        <x:v>Presión inicial (bar)</x:v>
      </x:c>
      <x:c r="F2" s="14" t="str">
        <x:v>Presión final (bar)</x:v>
      </x:c>
      <x:c r="G2" s="14" t="str">
        <x:v>Tiempo respuesta (s)</x:v>
      </x:c>
      <x:c r="H2" s="14" t="str">
        <x:v>Peso (kg)</x:v>
      </x:c>
      <x:c r="I2" s="14" t="str">
        <x:v>Resultado</x:v>
      </x:c>
      <x:c r="J2" s="14" t="str">
        <x:v>Deslizamiento</x:v>
      </x:c>
      <x:c r="K2" s="14" t="str">
        <x:v>Sensor lectura sin vacío</x:v>
      </x:c>
      <x:c r="L2" s="14" t="str">
        <x:v>Sensor lectura con vacío</x:v>
      </x:c>
      <x:c r="M2" s="14" t="str">
        <x:v>Sensor OK/FALLA</x:v>
      </x:c>
      <x:c r="N2" s="14" t="str">
        <x:v>Observaciones</x:v>
      </x:c>
    </x:row>
    <x:row r="3">
      <x:c r="A3" s="30" t="str"/>
      <x:c r="B3" s="20" t="str"/>
      <x:c r="C3" s="20" t="str"/>
      <x:c r="D3" s="20" t="str"/>
      <x:c r="E3" s="32" t="str"/>
      <x:c r="F3" s="32" t="str"/>
      <x:c r="G3" s="32" t="str"/>
      <x:c r="H3" s="32" t="str"/>
      <x:c r="I3" s="20" t="str"/>
      <x:c r="J3" s="20" t="str"/>
      <x:c r="K3" s="20" t="str"/>
      <x:c r="L3" s="20" t="str"/>
      <x:c r="M3" s="20" t="str"/>
      <x:c r="N3" s="20" t="str"/>
    </x:row>
    <x:row r="4">
      <x:c r="A4" s="30" t="str"/>
      <x:c r="B4" s="20" t="str"/>
      <x:c r="C4" s="20" t="str"/>
      <x:c r="D4" s="20" t="str"/>
      <x:c r="E4" s="32" t="str"/>
      <x:c r="F4" s="32" t="str"/>
      <x:c r="G4" s="32" t="str"/>
      <x:c r="H4" s="32" t="str"/>
      <x:c r="I4" s="20" t="str"/>
      <x:c r="J4" s="20" t="str"/>
      <x:c r="K4" s="20" t="str"/>
      <x:c r="L4" s="20" t="str"/>
      <x:c r="M4" s="20" t="str"/>
      <x:c r="N4" s="20" t="str"/>
    </x:row>
    <x:row r="5">
      <x:c r="A5" s="30" t="str"/>
      <x:c r="B5" s="20" t="str"/>
      <x:c r="C5" s="20" t="str"/>
      <x:c r="D5" s="20" t="str"/>
      <x:c r="E5" s="32" t="str"/>
      <x:c r="F5" s="32" t="str"/>
      <x:c r="G5" s="32" t="str"/>
      <x:c r="H5" s="32" t="str"/>
      <x:c r="I5" s="20" t="str"/>
      <x:c r="J5" s="20" t="str"/>
      <x:c r="K5" s="20" t="str"/>
      <x:c r="L5" s="20" t="str"/>
      <x:c r="M5" s="20" t="str"/>
      <x:c r="N5" s="20" t="str"/>
    </x:row>
    <x:row r="6">
      <x:c r="A6" s="30" t="str"/>
      <x:c r="B6" s="20" t="str"/>
      <x:c r="C6" s="20" t="str"/>
      <x:c r="D6" s="20" t="str"/>
      <x:c r="E6" s="32" t="str"/>
      <x:c r="F6" s="32" t="str"/>
      <x:c r="G6" s="32" t="str"/>
      <x:c r="H6" s="32" t="str"/>
      <x:c r="I6" s="20" t="str"/>
      <x:c r="J6" s="20" t="str"/>
      <x:c r="K6" s="20" t="str"/>
      <x:c r="L6" s="20" t="str"/>
      <x:c r="M6" s="20" t="str"/>
      <x:c r="N6" s="20" t="str"/>
    </x:row>
    <x:row r="7">
      <x:c r="A7" s="30" t="str"/>
      <x:c r="B7" s="20" t="str"/>
      <x:c r="C7" s="20" t="str"/>
      <x:c r="D7" s="20" t="str"/>
      <x:c r="E7" s="32" t="str"/>
      <x:c r="F7" s="32" t="str"/>
      <x:c r="G7" s="32" t="str"/>
      <x:c r="H7" s="32" t="str"/>
      <x:c r="I7" s="20" t="str"/>
      <x:c r="J7" s="20" t="str"/>
      <x:c r="K7" s="20" t="str"/>
      <x:c r="L7" s="20" t="str"/>
      <x:c r="M7" s="20" t="str"/>
      <x:c r="N7" s="20" t="str"/>
    </x:row>
    <x:row r="8">
      <x:c r="A8" s="30" t="str"/>
      <x:c r="B8" s="20" t="str"/>
      <x:c r="C8" s="20" t="str"/>
      <x:c r="D8" s="20" t="str"/>
      <x:c r="E8" s="32" t="str"/>
      <x:c r="F8" s="32" t="str"/>
      <x:c r="G8" s="32" t="str"/>
      <x:c r="H8" s="32" t="str"/>
      <x:c r="I8" s="20" t="str"/>
      <x:c r="J8" s="20" t="str"/>
      <x:c r="K8" s="20" t="str"/>
      <x:c r="L8" s="20" t="str"/>
      <x:c r="M8" s="20" t="str"/>
      <x:c r="N8" s="20" t="str"/>
    </x:row>
    <x:row r="9">
      <x:c r="A9" s="30" t="str"/>
      <x:c r="B9" s="20" t="str"/>
      <x:c r="C9" s="20" t="str"/>
      <x:c r="D9" s="20" t="str"/>
      <x:c r="E9" s="32" t="str"/>
      <x:c r="F9" s="32" t="str"/>
      <x:c r="G9" s="32" t="str"/>
      <x:c r="H9" s="32" t="str"/>
      <x:c r="I9" s="20" t="str"/>
      <x:c r="J9" s="20" t="str"/>
      <x:c r="K9" s="20" t="str"/>
      <x:c r="L9" s="20" t="str"/>
      <x:c r="M9" s="20" t="str"/>
      <x:c r="N9" s="20" t="str"/>
    </x:row>
    <x:row r="10">
      <x:c r="A10" s="30" t="str"/>
      <x:c r="B10" s="20" t="str"/>
      <x:c r="C10" s="20" t="str"/>
      <x:c r="D10" s="20" t="str"/>
      <x:c r="E10" s="32" t="str"/>
      <x:c r="F10" s="32" t="str"/>
      <x:c r="G10" s="32" t="str"/>
      <x:c r="H10" s="32" t="str"/>
      <x:c r="I10" s="20" t="str"/>
      <x:c r="J10" s="20" t="str"/>
      <x:c r="K10" s="20" t="str"/>
      <x:c r="L10" s="20" t="str"/>
      <x:c r="M10" s="20" t="str"/>
      <x:c r="N10" s="20" t="str"/>
    </x:row>
    <x:row r="11">
      <x:c r="A11" s="30" t="str"/>
      <x:c r="B11" s="20" t="str"/>
      <x:c r="C11" s="20" t="str"/>
      <x:c r="D11" s="20" t="str"/>
      <x:c r="E11" s="32" t="str"/>
      <x:c r="F11" s="32" t="str"/>
      <x:c r="G11" s="32" t="str"/>
      <x:c r="H11" s="32" t="str"/>
      <x:c r="I11" s="20" t="str"/>
      <x:c r="J11" s="20" t="str"/>
      <x:c r="K11" s="20" t="str"/>
      <x:c r="L11" s="20" t="str"/>
      <x:c r="M11" s="20" t="str"/>
      <x:c r="N11" s="20" t="str"/>
    </x:row>
    <x:row r="12">
      <x:c r="A12" s="30" t="str"/>
      <x:c r="B12" s="20" t="str"/>
      <x:c r="C12" s="20" t="str"/>
      <x:c r="D12" s="20" t="str"/>
      <x:c r="E12" s="32" t="str"/>
      <x:c r="F12" s="32" t="str"/>
      <x:c r="G12" s="32" t="str"/>
      <x:c r="H12" s="32" t="str"/>
      <x:c r="I12" s="20" t="str"/>
      <x:c r="J12" s="20" t="str"/>
      <x:c r="K12" s="20" t="str"/>
      <x:c r="L12" s="20" t="str"/>
      <x:c r="M12" s="20" t="str"/>
      <x:c r="N12" s="20" t="str"/>
    </x:row>
    <x:row r="13">
      <x:c r="A13" s="30" t="str"/>
      <x:c r="B13" s="20" t="str"/>
      <x:c r="C13" s="20" t="str"/>
      <x:c r="D13" s="20" t="str"/>
      <x:c r="E13" s="32" t="str"/>
      <x:c r="F13" s="32" t="str"/>
      <x:c r="G13" s="32" t="str"/>
      <x:c r="H13" s="32" t="str"/>
      <x:c r="I13" s="20" t="str"/>
      <x:c r="J13" s="20" t="str"/>
      <x:c r="K13" s="20" t="str"/>
      <x:c r="L13" s="20" t="str"/>
      <x:c r="M13" s="20" t="str"/>
      <x:c r="N13" s="20" t="str"/>
    </x:row>
    <x:row r="14">
      <x:c r="A14" s="30" t="str"/>
      <x:c r="B14" s="20" t="str"/>
      <x:c r="C14" s="20" t="str"/>
      <x:c r="D14" s="20" t="str"/>
      <x:c r="E14" s="32" t="str"/>
      <x:c r="F14" s="32" t="str"/>
      <x:c r="G14" s="32" t="str"/>
      <x:c r="H14" s="32" t="str"/>
      <x:c r="I14" s="20" t="str"/>
      <x:c r="J14" s="20" t="str"/>
      <x:c r="K14" s="20" t="str"/>
      <x:c r="L14" s="20" t="str"/>
      <x:c r="M14" s="20" t="str"/>
      <x:c r="N14" s="20" t="str"/>
    </x:row>
    <x:row r="15">
      <x:c r="A15" s="30" t="str"/>
      <x:c r="B15" s="20" t="str"/>
      <x:c r="C15" s="20" t="str"/>
      <x:c r="D15" s="20" t="str"/>
      <x:c r="E15" s="32" t="str"/>
      <x:c r="F15" s="32" t="str"/>
      <x:c r="G15" s="32" t="str"/>
      <x:c r="H15" s="32" t="str"/>
      <x:c r="I15" s="20" t="str"/>
      <x:c r="J15" s="20" t="str"/>
      <x:c r="K15" s="20" t="str"/>
      <x:c r="L15" s="20" t="str"/>
      <x:c r="M15" s="20" t="str"/>
      <x:c r="N15" s="20" t="str"/>
    </x:row>
    <x:row r="16">
      <x:c r="A16" s="30" t="str"/>
      <x:c r="B16" s="20" t="str"/>
      <x:c r="C16" s="20" t="str"/>
      <x:c r="D16" s="20" t="str"/>
      <x:c r="E16" s="32" t="str"/>
      <x:c r="F16" s="32" t="str"/>
      <x:c r="G16" s="32" t="str"/>
      <x:c r="H16" s="32" t="str"/>
      <x:c r="I16" s="20" t="str"/>
      <x:c r="J16" s="20" t="str"/>
      <x:c r="K16" s="20" t="str"/>
      <x:c r="L16" s="20" t="str"/>
      <x:c r="M16" s="20" t="str"/>
      <x:c r="N16" s="20" t="str"/>
    </x:row>
    <x:row r="17">
      <x:c r="A17" s="30" t="str"/>
      <x:c r="B17" s="20" t="str"/>
      <x:c r="C17" s="20" t="str"/>
      <x:c r="D17" s="20" t="str"/>
      <x:c r="E17" s="32" t="str"/>
      <x:c r="F17" s="32" t="str"/>
      <x:c r="G17" s="32" t="str"/>
      <x:c r="H17" s="32" t="str"/>
      <x:c r="I17" s="20" t="str"/>
      <x:c r="J17" s="20" t="str"/>
      <x:c r="K17" s="20" t="str"/>
      <x:c r="L17" s="20" t="str"/>
      <x:c r="M17" s="20" t="str"/>
      <x:c r="N17" s="20" t="str"/>
    </x:row>
    <x:row r="18">
      <x:c r="A18" s="30" t="str"/>
      <x:c r="B18" s="20" t="str"/>
      <x:c r="C18" s="20" t="str"/>
      <x:c r="D18" s="20" t="str"/>
      <x:c r="E18" s="32" t="str"/>
      <x:c r="F18" s="32" t="str"/>
      <x:c r="G18" s="32" t="str"/>
      <x:c r="H18" s="32" t="str"/>
      <x:c r="I18" s="20" t="str"/>
      <x:c r="J18" s="20" t="str"/>
      <x:c r="K18" s="20" t="str"/>
      <x:c r="L18" s="20" t="str"/>
      <x:c r="M18" s="20" t="str"/>
      <x:c r="N18" s="20" t="str"/>
    </x:row>
    <x:row r="19">
      <x:c r="A19" s="30" t="str"/>
      <x:c r="B19" s="20" t="str"/>
      <x:c r="C19" s="20" t="str"/>
      <x:c r="D19" s="20" t="str"/>
      <x:c r="E19" s="32" t="str"/>
      <x:c r="F19" s="32" t="str"/>
      <x:c r="G19" s="32" t="str"/>
      <x:c r="H19" s="32" t="str"/>
      <x:c r="I19" s="20" t="str"/>
      <x:c r="J19" s="20" t="str"/>
      <x:c r="K19" s="20" t="str"/>
      <x:c r="L19" s="20" t="str"/>
      <x:c r="M19" s="20" t="str"/>
      <x:c r="N19" s="20" t="str"/>
    </x:row>
    <x:row r="20">
      <x:c r="A20" s="30" t="str"/>
      <x:c r="B20" s="20" t="str"/>
      <x:c r="C20" s="20" t="str"/>
      <x:c r="D20" s="20" t="str"/>
      <x:c r="E20" s="32" t="str"/>
      <x:c r="F20" s="32" t="str"/>
      <x:c r="G20" s="32" t="str"/>
      <x:c r="H20" s="32" t="str"/>
      <x:c r="I20" s="20" t="str"/>
      <x:c r="J20" s="20" t="str"/>
      <x:c r="K20" s="20" t="str"/>
      <x:c r="L20" s="20" t="str"/>
      <x:c r="M20" s="20" t="str"/>
      <x:c r="N20" s="20" t="str"/>
    </x:row>
    <x:row r="21">
      <x:c r="A21" s="30" t="str"/>
      <x:c r="B21" s="20" t="str"/>
      <x:c r="C21" s="20" t="str"/>
      <x:c r="D21" s="20" t="str"/>
      <x:c r="E21" s="32" t="str"/>
      <x:c r="F21" s="32" t="str"/>
      <x:c r="G21" s="32" t="str"/>
      <x:c r="H21" s="32" t="str"/>
      <x:c r="I21" s="20" t="str"/>
      <x:c r="J21" s="20" t="str"/>
      <x:c r="K21" s="20" t="str"/>
      <x:c r="L21" s="20" t="str"/>
      <x:c r="M21" s="20" t="str"/>
      <x:c r="N21" s="20" t="str"/>
    </x:row>
    <x:row r="22">
      <x:c r="A22" s="30" t="str"/>
      <x:c r="B22" s="20" t="str"/>
      <x:c r="C22" s="20" t="str"/>
      <x:c r="D22" s="20" t="str"/>
      <x:c r="E22" s="32" t="str"/>
      <x:c r="F22" s="32" t="str"/>
      <x:c r="G22" s="32" t="str"/>
      <x:c r="H22" s="32" t="str"/>
      <x:c r="I22" s="20" t="str"/>
      <x:c r="J22" s="20" t="str"/>
      <x:c r="K22" s="20" t="str"/>
      <x:c r="L22" s="20" t="str"/>
      <x:c r="M22" s="20" t="str"/>
      <x:c r="N22" s="20" t="str"/>
    </x:row>
    <x:row r="23">
      <x:c r="A23" s="30" t="str"/>
      <x:c r="B23" s="20" t="str"/>
      <x:c r="C23" s="20" t="str"/>
      <x:c r="D23" s="20" t="str"/>
      <x:c r="E23" s="32" t="str"/>
      <x:c r="F23" s="32" t="str"/>
      <x:c r="G23" s="32" t="str"/>
      <x:c r="H23" s="32" t="str"/>
      <x:c r="I23" s="20" t="str"/>
      <x:c r="J23" s="20" t="str"/>
      <x:c r="K23" s="20" t="str"/>
      <x:c r="L23" s="20" t="str"/>
      <x:c r="M23" s="20" t="str"/>
      <x:c r="N23" s="20" t="str"/>
    </x:row>
    <x:row r="24">
      <x:c r="A24" s="30" t="str"/>
      <x:c r="B24" s="20" t="str"/>
      <x:c r="C24" s="20" t="str"/>
      <x:c r="D24" s="20" t="str"/>
      <x:c r="E24" s="32" t="str"/>
      <x:c r="F24" s="32" t="str"/>
      <x:c r="G24" s="32" t="str"/>
      <x:c r="H24" s="32" t="str"/>
      <x:c r="I24" s="20" t="str"/>
      <x:c r="J24" s="20" t="str"/>
      <x:c r="K24" s="20" t="str"/>
      <x:c r="L24" s="20" t="str"/>
      <x:c r="M24" s="20" t="str"/>
      <x:c r="N24" s="20" t="str"/>
    </x:row>
    <x:row r="25">
      <x:c r="A25" s="30" t="str"/>
      <x:c r="B25" s="20" t="str"/>
      <x:c r="C25" s="20" t="str"/>
      <x:c r="D25" s="20" t="str"/>
      <x:c r="E25" s="32" t="str"/>
      <x:c r="F25" s="32" t="str"/>
      <x:c r="G25" s="32" t="str"/>
      <x:c r="H25" s="32" t="str"/>
      <x:c r="I25" s="20" t="str"/>
      <x:c r="J25" s="20" t="str"/>
      <x:c r="K25" s="20" t="str"/>
      <x:c r="L25" s="20" t="str"/>
      <x:c r="M25" s="20" t="str"/>
      <x:c r="N25" s="20" t="str"/>
    </x:row>
    <x:row r="26">
      <x:c r="A26" s="30" t="str"/>
      <x:c r="B26" s="20" t="str"/>
      <x:c r="C26" s="20" t="str"/>
      <x:c r="D26" s="20" t="str"/>
      <x:c r="E26" s="32" t="str"/>
      <x:c r="F26" s="32" t="str"/>
      <x:c r="G26" s="32" t="str"/>
      <x:c r="H26" s="32" t="str"/>
      <x:c r="I26" s="20" t="str"/>
      <x:c r="J26" s="20" t="str"/>
      <x:c r="K26" s="20" t="str"/>
      <x:c r="L26" s="20" t="str"/>
      <x:c r="M26" s="20" t="str"/>
      <x:c r="N26" s="20" t="str"/>
    </x:row>
    <x:row r="27">
      <x:c r="A27" s="30" t="str"/>
      <x:c r="B27" s="20" t="str"/>
      <x:c r="C27" s="20" t="str"/>
      <x:c r="D27" s="20" t="str"/>
      <x:c r="E27" s="32" t="str"/>
      <x:c r="F27" s="32" t="str"/>
      <x:c r="G27" s="32" t="str"/>
      <x:c r="H27" s="32" t="str"/>
      <x:c r="I27" s="20" t="str"/>
      <x:c r="J27" s="20" t="str"/>
      <x:c r="K27" s="20" t="str"/>
      <x:c r="L27" s="20" t="str"/>
      <x:c r="M27" s="20" t="str"/>
      <x:c r="N27" s="20" t="str"/>
    </x:row>
    <x:row r="28">
      <x:c r="A28" s="30" t="str"/>
      <x:c r="B28" s="20" t="str"/>
      <x:c r="C28" s="20" t="str"/>
      <x:c r="D28" s="20" t="str"/>
      <x:c r="E28" s="32" t="str"/>
      <x:c r="F28" s="32" t="str"/>
      <x:c r="G28" s="32" t="str"/>
      <x:c r="H28" s="32" t="str"/>
      <x:c r="I28" s="20" t="str"/>
      <x:c r="J28" s="20" t="str"/>
      <x:c r="K28" s="20" t="str"/>
      <x:c r="L28" s="20" t="str"/>
      <x:c r="M28" s="20" t="str"/>
      <x:c r="N28" s="20" t="str"/>
    </x:row>
    <x:row r="29">
      <x:c r="A29" s="30" t="str"/>
      <x:c r="B29" s="20" t="str"/>
      <x:c r="C29" s="20" t="str"/>
      <x:c r="D29" s="20" t="str"/>
      <x:c r="E29" s="32" t="str"/>
      <x:c r="F29" s="32" t="str"/>
      <x:c r="G29" s="32" t="str"/>
      <x:c r="H29" s="32" t="str"/>
      <x:c r="I29" s="20" t="str"/>
      <x:c r="J29" s="20" t="str"/>
      <x:c r="K29" s="20" t="str"/>
      <x:c r="L29" s="20" t="str"/>
      <x:c r="M29" s="20" t="str"/>
      <x:c r="N29" s="20" t="str"/>
    </x:row>
    <x:row r="30">
      <x:c r="A30" s="30" t="str"/>
      <x:c r="B30" s="20" t="str"/>
      <x:c r="C30" s="20" t="str"/>
      <x:c r="D30" s="20" t="str"/>
      <x:c r="E30" s="32" t="str"/>
      <x:c r="F30" s="32" t="str"/>
      <x:c r="G30" s="32" t="str"/>
      <x:c r="H30" s="32" t="str"/>
      <x:c r="I30" s="20" t="str"/>
      <x:c r="J30" s="20" t="str"/>
      <x:c r="K30" s="20" t="str"/>
      <x:c r="L30" s="20" t="str"/>
      <x:c r="M30" s="20" t="str"/>
      <x:c r="N30" s="20" t="str"/>
    </x:row>
    <x:row r="31">
      <x:c r="A31" s="30" t="str"/>
      <x:c r="B31" s="20" t="str"/>
      <x:c r="C31" s="20" t="str"/>
      <x:c r="D31" s="20" t="str"/>
      <x:c r="E31" s="32" t="str"/>
      <x:c r="F31" s="32" t="str"/>
      <x:c r="G31" s="32" t="str"/>
      <x:c r="H31" s="32" t="str"/>
      <x:c r="I31" s="20" t="str"/>
      <x:c r="J31" s="20" t="str"/>
      <x:c r="K31" s="20" t="str"/>
      <x:c r="L31" s="20" t="str"/>
      <x:c r="M31" s="20" t="str"/>
      <x:c r="N31" s="20" t="str"/>
    </x:row>
    <x:row r="32">
      <x:c r="A32" s="30" t="str"/>
      <x:c r="B32" s="20" t="str"/>
      <x:c r="C32" s="20" t="str"/>
      <x:c r="D32" s="20" t="str"/>
      <x:c r="E32" s="32" t="str"/>
      <x:c r="F32" s="32" t="str"/>
      <x:c r="G32" s="32" t="str"/>
      <x:c r="H32" s="32" t="str"/>
      <x:c r="I32" s="20" t="str"/>
      <x:c r="J32" s="20" t="str"/>
      <x:c r="K32" s="20" t="str"/>
      <x:c r="L32" s="20" t="str"/>
      <x:c r="M32" s="20" t="str"/>
      <x:c r="N32" s="20" t="str"/>
    </x:row>
    <x:row r="33">
      <x:c r="A33" s="30" t="str"/>
      <x:c r="B33" s="20" t="str"/>
      <x:c r="C33" s="20" t="str"/>
      <x:c r="D33" s="20" t="str"/>
      <x:c r="E33" s="32" t="str"/>
      <x:c r="F33" s="32" t="str"/>
      <x:c r="G33" s="32" t="str"/>
      <x:c r="H33" s="32" t="str"/>
      <x:c r="I33" s="20" t="str"/>
      <x:c r="J33" s="20" t="str"/>
      <x:c r="K33" s="20" t="str"/>
      <x:c r="L33" s="20" t="str"/>
      <x:c r="M33" s="20" t="str"/>
      <x:c r="N33" s="20" t="str"/>
    </x:row>
    <x:row r="34">
      <x:c r="A34" s="30" t="str"/>
      <x:c r="B34" s="20" t="str"/>
      <x:c r="C34" s="20" t="str"/>
      <x:c r="D34" s="20" t="str"/>
      <x:c r="E34" s="32" t="str"/>
      <x:c r="F34" s="32" t="str"/>
      <x:c r="G34" s="32" t="str"/>
      <x:c r="H34" s="32" t="str"/>
      <x:c r="I34" s="20" t="str"/>
      <x:c r="J34" s="20" t="str"/>
      <x:c r="K34" s="20" t="str"/>
      <x:c r="L34" s="20" t="str"/>
      <x:c r="M34" s="20" t="str"/>
      <x:c r="N34" s="20" t="str"/>
    </x:row>
    <x:row r="35">
      <x:c r="A35" s="30" t="str"/>
      <x:c r="B35" s="20" t="str"/>
      <x:c r="C35" s="20" t="str"/>
      <x:c r="D35" s="20" t="str"/>
      <x:c r="E35" s="32" t="str"/>
      <x:c r="F35" s="32" t="str"/>
      <x:c r="G35" s="32" t="str"/>
      <x:c r="H35" s="32" t="str"/>
      <x:c r="I35" s="20" t="str"/>
      <x:c r="J35" s="20" t="str"/>
      <x:c r="K35" s="20" t="str"/>
      <x:c r="L35" s="20" t="str"/>
      <x:c r="M35" s="20" t="str"/>
      <x:c r="N35" s="20" t="str"/>
    </x:row>
    <x:row r="36">
      <x:c r="A36" s="30" t="str"/>
      <x:c r="B36" s="20" t="str"/>
      <x:c r="C36" s="20" t="str"/>
      <x:c r="D36" s="20" t="str"/>
      <x:c r="E36" s="32" t="str"/>
      <x:c r="F36" s="32" t="str"/>
      <x:c r="G36" s="32" t="str"/>
      <x:c r="H36" s="32" t="str"/>
      <x:c r="I36" s="20" t="str"/>
      <x:c r="J36" s="20" t="str"/>
      <x:c r="K36" s="20" t="str"/>
      <x:c r="L36" s="20" t="str"/>
      <x:c r="M36" s="20" t="str"/>
      <x:c r="N36" s="20" t="str"/>
    </x:row>
    <x:row r="37">
      <x:c r="A37" s="30" t="str"/>
      <x:c r="B37" s="20" t="str"/>
      <x:c r="C37" s="20" t="str"/>
      <x:c r="D37" s="20" t="str"/>
      <x:c r="E37" s="32" t="str"/>
      <x:c r="F37" s="32" t="str"/>
      <x:c r="G37" s="32" t="str"/>
      <x:c r="H37" s="32" t="str"/>
      <x:c r="I37" s="20" t="str"/>
      <x:c r="J37" s="20" t="str"/>
      <x:c r="K37" s="20" t="str"/>
      <x:c r="L37" s="20" t="str"/>
      <x:c r="M37" s="20" t="str"/>
      <x:c r="N37" s="20" t="str"/>
    </x:row>
    <x:row r="38">
      <x:c r="A38" s="30" t="str"/>
      <x:c r="B38" s="20" t="str"/>
      <x:c r="C38" s="20" t="str"/>
      <x:c r="D38" s="20" t="str"/>
      <x:c r="E38" s="32" t="str"/>
      <x:c r="F38" s="32" t="str"/>
      <x:c r="G38" s="32" t="str"/>
      <x:c r="H38" s="32" t="str"/>
      <x:c r="I38" s="20" t="str"/>
      <x:c r="J38" s="20" t="str"/>
      <x:c r="K38" s="20" t="str"/>
      <x:c r="L38" s="20" t="str"/>
      <x:c r="M38" s="20" t="str"/>
      <x:c r="N38" s="20" t="str"/>
    </x:row>
    <x:row r="39">
      <x:c r="A39" s="30" t="str"/>
      <x:c r="B39" s="20" t="str"/>
      <x:c r="C39" s="20" t="str"/>
      <x:c r="D39" s="20" t="str"/>
      <x:c r="E39" s="32" t="str"/>
      <x:c r="F39" s="32" t="str"/>
      <x:c r="G39" s="32" t="str"/>
      <x:c r="H39" s="32" t="str"/>
      <x:c r="I39" s="20" t="str"/>
      <x:c r="J39" s="20" t="str"/>
      <x:c r="K39" s="20" t="str"/>
      <x:c r="L39" s="20" t="str"/>
      <x:c r="M39" s="20" t="str"/>
      <x:c r="N39" s="20" t="str"/>
    </x:row>
    <x:row r="40">
      <x:c r="A40" s="30" t="str"/>
      <x:c r="B40" s="20" t="str"/>
      <x:c r="C40" s="20" t="str"/>
      <x:c r="D40" s="20" t="str"/>
      <x:c r="E40" s="32" t="str"/>
      <x:c r="F40" s="32" t="str"/>
      <x:c r="G40" s="32" t="str"/>
      <x:c r="H40" s="32" t="str"/>
      <x:c r="I40" s="20" t="str"/>
      <x:c r="J40" s="20" t="str"/>
      <x:c r="K40" s="20" t="str"/>
      <x:c r="L40" s="20" t="str"/>
      <x:c r="M40" s="20" t="str"/>
      <x:c r="N40" s="20" t="str"/>
    </x:row>
    <x:row r="41">
      <x:c r="A41" s="30" t="str"/>
      <x:c r="B41" s="20" t="str"/>
      <x:c r="C41" s="20" t="str"/>
      <x:c r="D41" s="20" t="str"/>
      <x:c r="E41" s="32" t="str"/>
      <x:c r="F41" s="32" t="str"/>
      <x:c r="G41" s="32" t="str"/>
      <x:c r="H41" s="32" t="str"/>
      <x:c r="I41" s="20" t="str"/>
      <x:c r="J41" s="20" t="str"/>
      <x:c r="K41" s="20" t="str"/>
      <x:c r="L41" s="20" t="str"/>
      <x:c r="M41" s="20" t="str"/>
      <x:c r="N41" s="20" t="str"/>
    </x:row>
    <x:row r="42">
      <x:c r="A42" s="30" t="str"/>
      <x:c r="B42" s="20" t="str"/>
      <x:c r="C42" s="20" t="str"/>
      <x:c r="D42" s="20" t="str"/>
      <x:c r="E42" s="32" t="str"/>
      <x:c r="F42" s="32" t="str"/>
      <x:c r="G42" s="32" t="str"/>
      <x:c r="H42" s="32" t="str"/>
      <x:c r="I42" s="20" t="str"/>
      <x:c r="J42" s="20" t="str"/>
      <x:c r="K42" s="20" t="str"/>
      <x:c r="L42" s="20" t="str"/>
      <x:c r="M42" s="20" t="str"/>
      <x:c r="N42" s="20" t="str"/>
    </x:row>
    <x:row r="43">
      <x:c r="A43" s="30" t="str"/>
      <x:c r="B43" s="20" t="str"/>
      <x:c r="C43" s="20" t="str"/>
      <x:c r="D43" s="20" t="str"/>
      <x:c r="E43" s="32" t="str"/>
      <x:c r="F43" s="32" t="str"/>
      <x:c r="G43" s="32" t="str"/>
      <x:c r="H43" s="32" t="str"/>
      <x:c r="I43" s="20" t="str"/>
      <x:c r="J43" s="20" t="str"/>
      <x:c r="K43" s="20" t="str"/>
      <x:c r="L43" s="20" t="str"/>
      <x:c r="M43" s="20" t="str"/>
      <x:c r="N43" s="20" t="str"/>
    </x:row>
    <x:row r="44">
      <x:c r="A44" s="30" t="str"/>
      <x:c r="B44" s="20" t="str"/>
      <x:c r="C44" s="20" t="str"/>
      <x:c r="D44" s="20" t="str"/>
      <x:c r="E44" s="32" t="str"/>
      <x:c r="F44" s="32" t="str"/>
      <x:c r="G44" s="32" t="str"/>
      <x:c r="H44" s="32" t="str"/>
      <x:c r="I44" s="20" t="str"/>
      <x:c r="J44" s="20" t="str"/>
      <x:c r="K44" s="20" t="str"/>
      <x:c r="L44" s="20" t="str"/>
      <x:c r="M44" s="20" t="str"/>
      <x:c r="N44" s="20" t="str"/>
    </x:row>
    <x:row r="45">
      <x:c r="A45" s="30" t="str"/>
      <x:c r="B45" s="20" t="str"/>
      <x:c r="C45" s="20" t="str"/>
      <x:c r="D45" s="20" t="str"/>
      <x:c r="E45" s="32" t="str"/>
      <x:c r="F45" s="32" t="str"/>
      <x:c r="G45" s="32" t="str"/>
      <x:c r="H45" s="32" t="str"/>
      <x:c r="I45" s="20" t="str"/>
      <x:c r="J45" s="20" t="str"/>
      <x:c r="K45" s="20" t="str"/>
      <x:c r="L45" s="20" t="str"/>
      <x:c r="M45" s="20" t="str"/>
      <x:c r="N45" s="20" t="str"/>
    </x:row>
    <x:row r="46">
      <x:c r="A46" s="30" t="str"/>
      <x:c r="B46" s="20" t="str"/>
      <x:c r="C46" s="20" t="str"/>
      <x:c r="D46" s="20" t="str"/>
      <x:c r="E46" s="32" t="str"/>
      <x:c r="F46" s="32" t="str"/>
      <x:c r="G46" s="32" t="str"/>
      <x:c r="H46" s="32" t="str"/>
      <x:c r="I46" s="20" t="str"/>
      <x:c r="J46" s="20" t="str"/>
      <x:c r="K46" s="20" t="str"/>
      <x:c r="L46" s="20" t="str"/>
      <x:c r="M46" s="20" t="str"/>
      <x:c r="N46" s="20" t="str"/>
    </x:row>
    <x:row r="47">
      <x:c r="A47" s="30" t="str"/>
      <x:c r="B47" s="20" t="str"/>
      <x:c r="C47" s="20" t="str"/>
      <x:c r="D47" s="20" t="str"/>
      <x:c r="E47" s="32" t="str"/>
      <x:c r="F47" s="32" t="str"/>
      <x:c r="G47" s="32" t="str"/>
      <x:c r="H47" s="32" t="str"/>
      <x:c r="I47" s="20" t="str"/>
      <x:c r="J47" s="20" t="str"/>
      <x:c r="K47" s="20" t="str"/>
      <x:c r="L47" s="20" t="str"/>
      <x:c r="M47" s="20" t="str"/>
      <x:c r="N47" s="20" t="str"/>
    </x:row>
    <x:row r="48">
      <x:c r="A48" s="30" t="str"/>
      <x:c r="B48" s="20" t="str"/>
      <x:c r="C48" s="20" t="str"/>
      <x:c r="D48" s="20" t="str"/>
      <x:c r="E48" s="32" t="str"/>
      <x:c r="F48" s="32" t="str"/>
      <x:c r="G48" s="32" t="str"/>
      <x:c r="H48" s="32" t="str"/>
      <x:c r="I48" s="20" t="str"/>
      <x:c r="J48" s="20" t="str"/>
      <x:c r="K48" s="20" t="str"/>
      <x:c r="L48" s="20" t="str"/>
      <x:c r="M48" s="20" t="str"/>
      <x:c r="N48" s="20" t="str"/>
    </x:row>
    <x:row r="49">
      <x:c r="A49" s="30" t="str"/>
      <x:c r="B49" s="20" t="str"/>
      <x:c r="C49" s="20" t="str"/>
      <x:c r="D49" s="20" t="str"/>
      <x:c r="E49" s="32" t="str"/>
      <x:c r="F49" s="32" t="str"/>
      <x:c r="G49" s="32" t="str"/>
      <x:c r="H49" s="32" t="str"/>
      <x:c r="I49" s="20" t="str"/>
      <x:c r="J49" s="20" t="str"/>
      <x:c r="K49" s="20" t="str"/>
      <x:c r="L49" s="20" t="str"/>
      <x:c r="M49" s="20" t="str"/>
      <x:c r="N49" s="20" t="str"/>
    </x:row>
    <x:row r="50">
      <x:c r="A50" s="30" t="str"/>
      <x:c r="B50" s="20" t="str"/>
      <x:c r="C50" s="20" t="str"/>
      <x:c r="D50" s="20" t="str"/>
      <x:c r="E50" s="32" t="str"/>
      <x:c r="F50" s="32" t="str"/>
      <x:c r="G50" s="32" t="str"/>
      <x:c r="H50" s="32" t="str"/>
      <x:c r="I50" s="20" t="str"/>
      <x:c r="J50" s="20" t="str"/>
      <x:c r="K50" s="20" t="str"/>
      <x:c r="L50" s="20" t="str"/>
      <x:c r="M50" s="20" t="str"/>
      <x:c r="N50" s="20" t="str"/>
    </x:row>
    <x:row r="51">
      <x:c r="A51" s="30" t="str"/>
      <x:c r="B51" s="20" t="str"/>
      <x:c r="C51" s="20" t="str"/>
      <x:c r="D51" s="20" t="str"/>
      <x:c r="E51" s="32" t="str"/>
      <x:c r="F51" s="32" t="str"/>
      <x:c r="G51" s="32" t="str"/>
      <x:c r="H51" s="32" t="str"/>
      <x:c r="I51" s="20" t="str"/>
      <x:c r="J51" s="20" t="str"/>
      <x:c r="K51" s="20" t="str"/>
      <x:c r="L51" s="20" t="str"/>
      <x:c r="M51" s="20" t="str"/>
      <x:c r="N51" s="20" t="str"/>
    </x:row>
    <x:row r="52">
      <x:c r="A52" s="30" t="str"/>
      <x:c r="B52" s="20" t="str"/>
      <x:c r="C52" s="20" t="str"/>
      <x:c r="D52" s="20" t="str"/>
      <x:c r="E52" s="32" t="str"/>
      <x:c r="F52" s="32" t="str"/>
      <x:c r="G52" s="32" t="str"/>
      <x:c r="H52" s="32" t="str"/>
      <x:c r="I52" s="20" t="str"/>
      <x:c r="J52" s="20" t="str"/>
      <x:c r="K52" s="20" t="str"/>
      <x:c r="L52" s="20" t="str"/>
      <x:c r="M52" s="20" t="str"/>
      <x:c r="N52" s="20" t="str"/>
    </x:row>
  </x:sheetData>
  <x:mergeCells>
    <x:mergeCell ref="A1:N1"/>
  </x:mergeCells>
  <x:dataValidations count="5">
    <x:dataValidation type="list" sqref="B3:B52">
      <x:formula1>"Prototipo,Industrial"</x:formula1>
    </x:dataValidation>
    <x:dataValidation type="list" sqref="C3:C52">
      <x:formula1>"P-01 Ensamble,P-02 Agarre,P-03 Repetibilidad,P-04 Tiempo,P-05 Carga,P-06 Deslizamiento,P-07 Presión,P-08 Liberación,P-09 Sensórica,P-10 Viabilidad"</x:formula1>
    </x:dataValidation>
    <x:dataValidation type="list" sqref="I3:I52">
      <x:formula1>"OK,FALLA"</x:formula1>
    </x:dataValidation>
    <x:dataValidation type="list" sqref="J3:J52">
      <x:formula1>"Nulo,Leve,Medio,Alto"</x:formula1>
    </x:dataValidation>
    <x:dataValidation type="list" sqref="M3:M52">
      <x:formula1>"OK,FALLA"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fdd0be595743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2" hidden="0" customWidth="1"/>
    <x:col min="5" max="5" width="32" hidden="0" customWidth="1"/>
    <x:col min="6" max="6" width="28" hidden="0" customWidth="1"/>
    <x:col min="7" max="7" width="32" hidden="0" customWidth="1"/>
    <x:col min="8" max="8" width="28" hidden="0" customWidth="1"/>
    <x:col min="9" max="9" width="34" hidden="0" customWidth="1"/>
    <x:col min="10" max="10" width="14" hidden="0" customWidth="1"/>
    <x:col min="11" max="11" width="14" hidden="0" customWidth="1"/>
  </x:cols>
  <x:sheetData>
    <x:row r="1">
      <x:c r="A1" s="5" t="str">
        <x:v>VERIFICACIÓN DE SENSÓRICA - MPX5700 / VACUOSTATO 24 V</x:v>
      </x:c>
    </x:row>
    <x:row r="2">
      <x:c r="A2" s="14" t="str">
        <x:v>Sensor</x:v>
      </x:c>
      <x:c r="B2" s="14" t="str">
        <x:v>Señal esperada</x:v>
      </x:c>
      <x:c r="C2" s="14" t="str">
        <x:v>Condición sin vacío</x:v>
      </x:c>
      <x:c r="D2" s="14" t="str">
        <x:v>Condición con vacío</x:v>
      </x:c>
      <x:c r="E2" s="14" t="str">
        <x:v>Método de verificación</x:v>
      </x:c>
      <x:c r="F2" s="14" t="str">
        <x:v>Valor deseable</x:v>
      </x:c>
      <x:c r="G2" s="14" t="str">
        <x:v>Criterio OK</x:v>
      </x:c>
      <x:c r="H2" s="14" t="str">
        <x:v>Riesgo si falla</x:v>
      </x:c>
      <x:c r="I2" s="14" t="str">
        <x:v>Acción correctiva</x:v>
      </x:c>
      <x:c r="J2" s="14" t="str">
        <x:v>Aplica prototipo</x:v>
      </x:c>
      <x:c r="K2" s="14" t="str">
        <x:v>Aplica industrial</x:v>
      </x:c>
    </x:row>
    <x:row r="3">
      <x:c r="A3" s="20" t="str">
        <x:v>MPX5700 / sensor analógico</x:v>
      </x:c>
      <x:c r="B3" s="20" t="str">
        <x:v>Variación de voltaje/ADC</x:v>
      </x:c>
      <x:c r="C3" s="20" t="str">
        <x:v>Lectura base estable</x:v>
      </x:c>
      <x:c r="D3" s="20" t="str">
        <x:v>Lectura cambia al generar vacío</x:v>
      </x:c>
      <x:c r="E3" s="20" t="str">
        <x:v>Leer por monitor serial del ESP32 o multímetro</x:v>
      </x:c>
      <x:c r="F3" s="20" t="str">
        <x:v>Cambio claro y repetible de lectura</x:v>
      </x:c>
      <x:c r="G3" s="20" t="str">
        <x:v>Diferencia visible entre sin vacío y con vacío</x:v>
      </x:c>
      <x:c r="H3" s="20" t="str">
        <x:v>El control no detecta agarre real</x:v>
      </x:c>
      <x:c r="I3" s="20" t="str">
        <x:v>Revisar alimentación, divisor de voltaje, puerto ADC y manguera</x:v>
      </x:c>
      <x:c r="J3" s="20" t="str">
        <x:v>Sí</x:v>
      </x:c>
      <x:c r="K3" s="20" t="str">
        <x:v>Opcional</x:v>
      </x:c>
    </x:row>
    <x:row r="4">
      <x:c r="A4" s="20" t="str">
        <x:v>Vacuostato 24 V</x:v>
      </x:c>
      <x:c r="B4" s="20" t="str">
        <x:v>Cambio ON/OFF</x:v>
      </x:c>
      <x:c r="C4" s="20" t="str">
        <x:v>Salida desactivada o estado sin vacío</x:v>
      </x:c>
      <x:c r="D4" s="20" t="str">
        <x:v>Salida activada al superar umbral</x:v>
      </x:c>
      <x:c r="E4" s="20" t="str">
        <x:v>LED del vacuostato, entrada PLC/relé o multímetro</x:v>
      </x:c>
      <x:c r="F4" s="20" t="str">
        <x:v>Conmutación en el umbral definido</x:v>
      </x:c>
      <x:c r="G4" s="20" t="str">
        <x:v>Cambia estado al activar/desactivar vacío</x:v>
      </x:c>
      <x:c r="H4" s="20" t="str">
        <x:v>Falla de permiso de agarre o falsa confirmación</x:v>
      </x:c>
      <x:c r="I4" s="20" t="str">
        <x:v>Ajustar umbral, revisar PNP/NPN y alimentación 24 V</x:v>
      </x:c>
      <x:c r="J4" s="20" t="str">
        <x:v>Opcional</x:v>
      </x:c>
      <x:c r="K4" s="20" t="str">
        <x:v>Sí</x:v>
      </x:c>
    </x:row>
    <x:row r="5">
      <x:c r="A5" s="20" t="str">
        <x:v>Relé de interfaz</x:v>
      </x:c>
      <x:c r="B5" s="20" t="str">
        <x:v>Conmutación eléctrica</x:v>
      </x:c>
      <x:c r="C5" s="20" t="str">
        <x:v>Relé apagado</x:v>
      </x:c>
      <x:c r="D5" s="20" t="str">
        <x:v>Relé activado con comando</x:v>
      </x:c>
      <x:c r="E5" s="20" t="str">
        <x:v>Escuchar clic / medir continuidad / LED módulo</x:v>
      </x:c>
      <x:c r="F5" s="20" t="str">
        <x:v>Activación inmediata</x:v>
      </x:c>
      <x:c r="G5" s="20" t="str">
        <x:v>Activa válvula o señal del programa sin intermitencia</x:v>
      </x:c>
      <x:c r="H5" s="20" t="str">
        <x:v>No se activa el gripper</x:v>
      </x:c>
      <x:c r="I5" s="20" t="str">
        <x:v>Revisar cableado, GND común o alimentación</x:v>
      </x:c>
      <x:c r="J5" s="20" t="str">
        <x:v>Sí</x:v>
      </x:c>
      <x:c r="K5" s="20" t="str">
        <x:v>Sí</x:v>
      </x:c>
    </x:row>
    <x:row r="6">
      <x:c r="A6" s="20" t="str">
        <x:v>Válvula solenoide</x:v>
      </x:c>
      <x:c r="B6" s="20" t="str">
        <x:v>Apertura/cierre neumático</x:v>
      </x:c>
      <x:c r="C6" s="20" t="str">
        <x:v>Sin paso de aire/vacío según configuración</x:v>
      </x:c>
      <x:c r="D6" s="20" t="str">
        <x:v>Paso de aire/vacío al activar</x:v>
      </x:c>
      <x:c r="E6" s="20" t="str">
        <x:v>Escuchar conmutación y observar agarre</x:v>
      </x:c>
      <x:c r="F6" s="20" t="str">
        <x:v>Conmutación limpia</x:v>
      </x:c>
      <x:c r="G6" s="20" t="str">
        <x:v>Actúa al recibir señal del relé/control</x:v>
      </x:c>
      <x:c r="H6" s="20" t="str">
        <x:v>No se genera vacío o no libera</x:v>
      </x:c>
      <x:c r="I6" s="20" t="str">
        <x:v>Revisar bobina, voltaje, polaridad y conexiones</x:v>
      </x:c>
      <x:c r="J6" s="20" t="str">
        <x:v>Sí</x:v>
      </x:c>
      <x:c r="K6" s="20" t="str">
        <x:v>Sí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590f7769e6b47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2" hidden="0" customWidth="1"/>
    <x:col min="5" max="5" width="16" hidden="0" customWidth="1"/>
  </x:cols>
  <x:sheetData>
    <x:row r="1">
      <x:c r="A1" s="5" t="str">
        <x:v>RESUMEN AUTOMÁTICO DE VALIDACIÓN</x:v>
      </x:c>
    </x:row>
    <x:row r="2">
      <x:c r="A2" s="14" t="str">
        <x:v>Métrica</x:v>
      </x:c>
      <x:c r="B2" s="14" t="str">
        <x:v>Fórmula / fuente</x:v>
      </x:c>
      <x:c r="C2" s="14" t="str">
        <x:v>Resultado</x:v>
      </x:c>
      <x:c r="D2" s="14" t="str">
        <x:v>Valor deseable</x:v>
      </x:c>
      <x:c r="E2" s="14" t="str">
        <x:v>Estado</x:v>
      </x:c>
      <x:c r="F2" t="str"/>
      <x:c r="G2" t="str"/>
      <x:c r="H2" t="str"/>
    </x:row>
    <x:row r="3">
      <x:c r="A3" s="20" t="str">
        <x:v>Total de ensayos registrados</x:v>
      </x:c>
      <x:c r="B3" s="20" t="str">
        <x:v>Conteo de iteraciones</x:v>
      </x:c>
      <x:c r="C3" s="20" t="n">
        <x:f>COUNTA('Registro Laboratorio'!D3:D52)</x:f>
        <x:v>50</x:v>
      </x:c>
      <x:c r="D3" s="20" t="str">
        <x:v>≥ 20 prototipo</x:v>
      </x:c>
      <x:c r="E3" s="20" t="str">
        <x:f>IF(C3&gt;=20,"Cumple","Pendiente")</x:f>
        <x:v>Cumple</x:v>
      </x:c>
      <x:c r="F3" t="str"/>
      <x:c r="G3" t="str"/>
      <x:c r="H3" t="str"/>
    </x:row>
    <x:row r="4">
      <x:c r="A4" s="20" t="str">
        <x:v>Ensayos OK</x:v>
      </x:c>
      <x:c r="B4" s="20" t="str">
        <x:v>Conteo OK</x:v>
      </x:c>
      <x:c r="C4" s="20" t="n">
        <x:f>COUNTIF('Registro Laboratorio'!I3:I52,"OK")</x:f>
        <x:v>0</x:v>
      </x:c>
      <x:c r="D4" s="20" t="str"/>
      <x:c r="E4" s="20" t="str"/>
      <x:c r="F4" t="str"/>
      <x:c r="G4" t="str"/>
      <x:c r="H4" t="str"/>
    </x:row>
    <x:row r="5">
      <x:c r="A5" s="20" t="str">
        <x:v>Eficiencia de agarre (%)</x:v>
      </x:c>
      <x:c r="B5" s="20" t="str">
        <x:v>OK / Total</x:v>
      </x:c>
      <x:c r="C5" s="22" t="n">
        <x:f>IF(C3=0,"",C4/C3)</x:f>
        <x:v>0</x:v>
      </x:c>
      <x:c r="D5" s="20" t="str">
        <x:v>≥ 90%</x:v>
      </x:c>
      <x:c r="E5" s="20" t="str">
        <x:f>IF(C5="","Pendiente",IF(C5&gt;=0.9,"Cumple","No cumple"))</x:f>
        <x:v>Pendiente</x:v>
      </x:c>
      <x:c r="F5" t="str"/>
      <x:c r="G5" t="str"/>
      <x:c r="H5" t="str"/>
    </x:row>
    <x:row r="6">
      <x:c r="A6" s="20" t="str">
        <x:v>Tiempo promedio (s)</x:v>
      </x:c>
      <x:c r="B6" s="20" t="str">
        <x:v>Promedio tiempos</x:v>
      </x:c>
      <x:c r="C6" s="20" t="str">
        <x:f>IFERROR(AVERAGE('Registro Laboratorio'!G3:G52),"")</x:f>
      </x:c>
      <x:c r="D6" s="20" t="str">
        <x:v>≤ 2,0 s</x:v>
      </x:c>
      <x:c r="E6" s="20" t="str">
        <x:f>IF(C6="","Pendiente",IF(C6&lt;=2,"Cumple","No cumple"))</x:f>
        <x:v>Pendiente</x:v>
      </x:c>
      <x:c r="F6" t="str"/>
      <x:c r="G6" t="str"/>
      <x:c r="H6" t="str"/>
    </x:row>
    <x:row r="7">
      <x:c r="A7" s="20" t="str">
        <x:v>Carga máxima validada (kg)</x:v>
      </x:c>
      <x:c r="B7" s="20" t="str">
        <x:v>Máximo peso</x:v>
      </x:c>
      <x:c r="C7" s="20" t="n">
        <x:f>IFERROR(MAX('Registro Laboratorio'!H3:H52),"")</x:f>
        <x:v>0</x:v>
      </x:c>
      <x:c r="D7" s="20" t="str">
        <x:v>≥ 2,5 kg</x:v>
      </x:c>
      <x:c r="E7" s="20" t="str">
        <x:f>IF(C7="","Pendiente",IF(C7&gt;=2.5,"Cumple","No cumple"))</x:f>
        <x:v>Pendiente</x:v>
      </x:c>
      <x:c r="F7" t="str"/>
      <x:c r="G7" t="str"/>
      <x:c r="H7" t="str"/>
    </x:row>
    <x:row r="8">
      <x:c r="A8" s="20" t="str">
        <x:v>Presión promedio inicial (bar)</x:v>
      </x:c>
      <x:c r="B8" s="20" t="str">
        <x:v>Promedio presión inicial</x:v>
      </x:c>
      <x:c r="C8" s="20" t="str">
        <x:f>IFERROR(AVERAGE('Registro Laboratorio'!E3:E52),"")</x:f>
      </x:c>
      <x:c r="D8" s="20" t="str">
        <x:v>4–6 bar</x:v>
      </x:c>
      <x:c r="E8" s="20" t="str">
        <x:f>IF(C8="","Pendiente",IF(AND(C8&gt;=4,C8&lt;=6),"Cumple","Revisar"))</x:f>
        <x:v>Pendiente</x:v>
      </x:c>
      <x:c r="F8" t="str"/>
      <x:c r="G8" t="str"/>
      <x:c r="H8" t="str"/>
    </x:row>
    <x:row r="9">
      <x:c r="A9" s="20" t="str">
        <x:v>Presión promedio final (bar)</x:v>
      </x:c>
      <x:c r="B9" s="20" t="str">
        <x:v>Promedio presión final</x:v>
      </x:c>
      <x:c r="C9" s="20" t="str">
        <x:f>IFERROR(AVERAGE('Registro Laboratorio'!F3:F52),"")</x:f>
      </x:c>
      <x:c r="D9" s="20" t="str">
        <x:v>4–6 bar</x:v>
      </x:c>
      <x:c r="E9" s="20" t="str">
        <x:f>IF(C9="","Pendiente",IF(AND(C9&gt;=4,C9&lt;=6),"Cumple","Revisar"))</x:f>
        <x:v>Pendiente</x:v>
      </x:c>
      <x:c r="F9" t="str"/>
      <x:c r="G9" t="str"/>
      <x:c r="H9" t="str"/>
    </x:row>
    <x:row r="10">
      <x:c r="A10" s="20" t="str">
        <x:v>Sensórica OK (%)</x:v>
      </x:c>
      <x:c r="B10" s="20" t="str">
        <x:v>Sensor OK / registros sensórica</x:v>
      </x:c>
      <x:c r="C10" s="22" t="str">
        <x:f>IF(COUNTIF('Registro Laboratorio'!M3:M52,"OK")+COUNTIF('Registro Laboratorio'!M3:M52,"FALLA")=0,"",COUNTIF('Registro Laboratorio'!M3:M52,"OK")/(COUNTIF('Registro Laboratorio'!M3:M52,"OK")+COUNTIF('Registro Laboratorio'!M3:M52,"FALLA")))</x:f>
      </x:c>
      <x:c r="D10" s="20" t="str">
        <x:v>100% en pruebas críticas</x:v>
      </x:c>
      <x:c r="E10" s="20" t="str">
        <x:f>IF(C10="","Pendiente",IF(C10=1,"Cumple","No cumple"))</x:f>
        <x:v>Pendiente</x:v>
      </x:c>
      <x:c r="F10" t="str"/>
      <x:c r="G10" t="str"/>
      <x:c r="H10" t="str"/>
    </x:row>
    <x:row r="12">
      <x:c r="A12" s="26" t="str">
        <x:v>Nota: Este archivo está diseñado para validar el prototipo o modelo industrial con indicadores simples de laboratorio. Use la hoja Registro Laboratorio para ingresar datos; el Resumen se actualizará automáticamente. La verificación sensórica acepta dos caminos: MPX5700 para prototipo o vacuostato 24 V para modelo industrial.</x:v>
      </x:c>
    </x:row>
  </x:sheetData>
  <x:mergeCells>
    <x:mergeCell ref="A1:H1"/>
    <x:mergeCell ref="A12:E15"/>
  </x:mergeCells>
  <x:conditionalFormatting sqref="E3:E10">
    <x:cfRule type="expression" dxfId="0" priority="1">
      <x:formula>E3="Cumple"</x:formula>
    </x:cfRule>
    <x:cfRule type="expression" dxfId="1" priority="2">
      <x:formula>E3="No cumple"</x:formula>
    </x:cfRule>
    <x:cfRule type="expression" dxfId="2" priority="3">
      <x:formula>E3="Revisar"</x:formula>
    </x:cfRule>
    <x:cfRule type="expression" dxfId="3" priority="4">
      <x:formula>E3="Pendiente"</x:formula>
    </x:cfRule>
  </x:conditionalFormatting>
  <x:pageMargins left="0.7" right="0.7" top="0.75" bottom="0.75" header="0.3" footer="0.3"/>
  <x:drawing xmlns:r="http://schemas.openxmlformats.org/officeDocument/2006/relationships" r:id="R4bb72dcab11e4d4d"/>
</x:worksheet>
</file>